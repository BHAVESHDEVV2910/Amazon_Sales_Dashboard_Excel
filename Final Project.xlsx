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6913C5D7-A38F-4CEE-B992-D73DF5E61D05}" xr6:coauthVersionLast="47" xr6:coauthVersionMax="47" xr10:uidLastSave="{00000000-0000-0000-0000-000000000000}"/>
  <bookViews>
    <workbookView xWindow="-110" yWindow="-110" windowWidth="19420" windowHeight="10300" firstSheet="5" activeTab="8" xr2:uid="{D94899FD-09A6-4FA5-84D9-219091DA01CF}"/>
  </bookViews>
  <sheets>
    <sheet name="Project Instuctions" sheetId="1" r:id="rId1"/>
    <sheet name="Final Project Dataset" sheetId="2" r:id="rId2"/>
    <sheet name="Raw Data" sheetId="7" r:id="rId3"/>
    <sheet name="Analysis" sheetId="4" r:id="rId4"/>
    <sheet name="Scenario Summary" sheetId="14" r:id="rId5"/>
    <sheet name="Linear Regression" sheetId="15" r:id="rId6"/>
    <sheet name="KPI" sheetId="16" r:id="rId7"/>
    <sheet name="Visualization" sheetId="18" r:id="rId8"/>
    <sheet name="Dashboard" sheetId="20" r:id="rId9"/>
    <sheet name="Sheet1" sheetId="21" r:id="rId10"/>
  </sheets>
  <definedNames>
    <definedName name="NativeTimeline_Date">#N/A</definedName>
    <definedName name="Slicer_Region">#N/A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06" i="4" l="1"/>
  <c r="S266" i="4" a="1"/>
  <c r="S266" i="4" s="1"/>
  <c r="C266" i="4" a="1"/>
  <c r="C266" i="4" s="1"/>
  <c r="I7" i="4"/>
  <c r="G7" i="4" a="1"/>
  <c r="G7" i="4" s="1"/>
  <c r="E7" i="4"/>
  <c r="C7" i="4"/>
  <c r="O7" i="20"/>
  <c r="L7" i="20"/>
  <c r="I7" i="20"/>
  <c r="F7" i="20"/>
  <c r="B72" i="18"/>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A16" i="1" a="1"/>
  <c r="A16" i="1" s="1"/>
  <c r="I736" i="4"/>
  <c r="I737" i="4"/>
  <c r="I738" i="4"/>
  <c r="I732" i="4"/>
  <c r="I733" i="4"/>
  <c r="I734" i="4"/>
  <c r="I735" i="4"/>
  <c r="I726" i="4"/>
  <c r="I727" i="4"/>
  <c r="I728" i="4"/>
  <c r="I729" i="4"/>
  <c r="I730" i="4"/>
  <c r="I731" i="4"/>
  <c r="I721" i="4"/>
  <c r="I722" i="4"/>
  <c r="I723" i="4"/>
  <c r="I724" i="4"/>
  <c r="I725"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687" i="4"/>
  <c r="I688" i="4"/>
  <c r="I683" i="4"/>
  <c r="I684" i="4"/>
  <c r="I685" i="4"/>
  <c r="I686" i="4"/>
  <c r="I679" i="4"/>
  <c r="I680" i="4"/>
  <c r="I681" i="4"/>
  <c r="I682"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489" i="4"/>
  <c r="J478" i="4"/>
  <c r="K478" i="4"/>
  <c r="G12" i="16"/>
  <c r="H12" i="16"/>
  <c r="B11" i="16"/>
  <c r="G5" i="16"/>
  <c r="B5" i="16"/>
  <c r="I419" i="4"/>
  <c r="I420" i="4"/>
  <c r="I421" i="4"/>
  <c r="I422" i="4"/>
  <c r="I423" i="4"/>
  <c r="I424" i="4"/>
  <c r="I425" i="4"/>
  <c r="I426" i="4"/>
  <c r="I427" i="4"/>
  <c r="I432" i="4"/>
  <c r="I433" i="4"/>
  <c r="I434" i="4"/>
  <c r="I435" i="4"/>
  <c r="I436" i="4"/>
  <c r="I437" i="4"/>
  <c r="I438" i="4"/>
  <c r="I439" i="4"/>
  <c r="I440" i="4"/>
  <c r="I441" i="4"/>
  <c r="I442" i="4"/>
  <c r="I443" i="4"/>
  <c r="I444" i="4"/>
  <c r="I445" i="4"/>
  <c r="I446" i="4"/>
  <c r="I447" i="4"/>
  <c r="I452" i="4"/>
  <c r="I453" i="4"/>
  <c r="I454" i="4"/>
  <c r="I455" i="4"/>
  <c r="I456" i="4"/>
  <c r="I457" i="4"/>
  <c r="I458" i="4"/>
  <c r="I459" i="4"/>
  <c r="I460" i="4"/>
  <c r="I461" i="4"/>
  <c r="I462" i="4"/>
  <c r="I463" i="4"/>
  <c r="I464" i="4"/>
  <c r="I465" i="4"/>
  <c r="I466" i="4"/>
  <c r="I467" i="4"/>
  <c r="J419" i="4" a="1"/>
  <c r="J419" i="4" s="1"/>
  <c r="I449" i="4" l="1"/>
  <c r="I429" i="4"/>
  <c r="I451" i="4"/>
  <c r="I431" i="4"/>
  <c r="I450" i="4"/>
  <c r="I430" i="4"/>
  <c r="I468" i="4"/>
  <c r="I448" i="4"/>
  <c r="I428" i="4"/>
  <c r="O409" i="4"/>
  <c r="J409" i="4"/>
  <c r="K409" i="4"/>
  <c r="I40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407" i="4"/>
  <c r="D408" i="4"/>
  <c r="D409" i="4"/>
  <c r="D410" i="4"/>
  <c r="D411" i="4"/>
  <c r="D412" i="4"/>
  <c r="D413" i="4"/>
  <c r="D414" i="4"/>
  <c r="D415" i="4"/>
  <c r="D416" i="4"/>
  <c r="D417" i="4"/>
  <c r="D418" i="4"/>
  <c r="D419"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8" i="4"/>
  <c r="I9" i="4"/>
  <c r="I10"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<sst xmlns="http://schemas.openxmlformats.org/spreadsheetml/2006/main" count="4700" uniqueCount="519">
  <si>
    <t>PR. Final Project - "Data Intelligence Dashboard"</t>
  </si>
  <si>
    <t>Dataset: Use the 'Final Project Dataset' sheet containing 200+ records of customer transactions.</t>
  </si>
  <si>
    <t xml:space="preserve">Objective: </t>
  </si>
  <si>
    <t xml:space="preserve">Create a full-fledged analysis and reporting solution using Excel to analyze customer transactions, find insights, </t>
  </si>
  <si>
    <t>and build visualizations and dashboards.</t>
  </si>
  <si>
    <t xml:space="preserve"> </t>
  </si>
  <si>
    <t>Key Topics to Implement:</t>
  </si>
  <si>
    <t>- Date &amp; Time Functions: TODAY, NOW, DATEDIF, EOMONTH</t>
  </si>
  <si>
    <t>- FILTER Function for multi-value returns</t>
  </si>
  <si>
    <t>-  Conditional Formatting with Icons/Arrows</t>
  </si>
  <si>
    <t>- Create Timestamp (using NOW and iterative calculations)</t>
  </si>
  <si>
    <t>- WHAT-IF Analysis: Scenario Manager, Goal Seek</t>
  </si>
  <si>
    <t>- Linear Regression using Data Analysis Toolpak</t>
  </si>
  <si>
    <t>- Data Analysis &amp; Storytelling from the dataset</t>
  </si>
  <si>
    <t>- Create Dashboard using:</t>
  </si>
  <si>
    <t xml:space="preserve">    - Pivot Tables</t>
  </si>
  <si>
    <t xml:space="preserve">    - Pivot Charts (Bar, Line, Pie)</t>
  </si>
  <si>
    <t xml:space="preserve">    - Slicers and Timelines</t>
  </si>
  <si>
    <t xml:space="preserve">    - KPI Indicators with Conditional Formatting</t>
  </si>
  <si>
    <t>- Find most frequently purchased product or repeating names using formulas</t>
  </si>
  <si>
    <t>- Compare two lists and extract matching names in a new column</t>
  </si>
  <si>
    <t>- Create Abbreviations using TEXT functions</t>
  </si>
  <si>
    <t>- Build a final report with insights and storytelling</t>
  </si>
  <si>
    <t>Deliverable:</t>
  </si>
  <si>
    <t>- Well-structured workbook with multiple sheets (Raw Data, Analysis, Visualizations, Dashboard)</t>
  </si>
  <si>
    <t>- Summary insights with key metrics: Total Revenue, Top Customers, most Sold Products, Regional Sales</t>
  </si>
  <si>
    <t>- Use of all required formulas and functions as listed above</t>
  </si>
  <si>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</si>
  <si>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</si>
  <si>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</si>
  <si>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</si>
  <si>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</si>
  <si>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</si>
  <si>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</si>
  <si>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</si>
  <si>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</si>
  <si>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</si>
  <si>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</si>
  <si>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</si>
  <si>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</si>
  <si>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</si>
  <si>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</si>
  <si>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</si>
  <si>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</si>
  <si>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</si>
  <si>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</si>
  <si>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</si>
  <si>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</si>
  <si>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</si>
  <si>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</si>
  <si>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</si>
  <si>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</si>
  <si>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</si>
  <si>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</si>
  <si>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</si>
  <si>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</si>
  <si>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</si>
  <si>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</si>
  <si>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</si>
  <si>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</si>
  <si>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</si>
  <si>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</si>
  <si>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</si>
  <si>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</si>
  <si>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</si>
  <si>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</si>
  <si>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</si>
  <si>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</si>
  <si>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</si>
  <si>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</si>
  <si>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</si>
  <si>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</si>
  <si>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</si>
  <si>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</si>
  <si>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</si>
  <si>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</si>
  <si>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</si>
  <si>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</si>
  <si>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</si>
  <si>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</si>
  <si>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</si>
  <si>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</si>
  <si>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</si>
  <si>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</si>
  <si>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</si>
  <si>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</si>
  <si>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</si>
  <si>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</si>
  <si>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</si>
  <si>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</si>
  <si>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</si>
  <si>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</si>
  <si>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</si>
  <si>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</si>
  <si>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</si>
  <si>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</si>
  <si>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</si>
  <si>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</si>
  <si>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</si>
  <si>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</si>
  <si>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</si>
  <si>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</si>
  <si>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</si>
  <si>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</si>
  <si>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</si>
  <si>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</si>
  <si>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</si>
  <si>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</si>
  <si>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</si>
  <si>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</si>
  <si>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</si>
  <si>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</si>
  <si>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</si>
  <si>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</si>
  <si>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</si>
  <si>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</si>
  <si>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</si>
  <si>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</si>
  <si>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</si>
  <si>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</si>
  <si>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</si>
  <si>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</si>
  <si>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</si>
  <si>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</si>
  <si>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</si>
  <si>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</si>
  <si>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</si>
  <si>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</si>
  <si>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</si>
  <si>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</si>
  <si>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</si>
  <si>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</si>
  <si>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</si>
  <si>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</si>
  <si>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</si>
  <si>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</si>
  <si>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</si>
  <si>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</si>
  <si>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</si>
  <si>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</si>
  <si>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</si>
  <si>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</si>
  <si>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</si>
  <si>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</si>
  <si>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</si>
  <si>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</si>
  <si>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</si>
  <si>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</si>
  <si>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</si>
  <si>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</si>
  <si>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</si>
  <si>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</si>
  <si>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</si>
  <si>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</si>
  <si>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</si>
  <si>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</si>
  <si>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</si>
  <si>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</si>
  <si>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</si>
  <si>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</si>
  <si>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</si>
  <si>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</si>
  <si>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</si>
  <si>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</si>
  <si>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</si>
  <si>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</si>
  <si>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</si>
  <si>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</si>
  <si>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</si>
  <si>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</si>
  <si>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</si>
  <si>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</si>
  <si>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</si>
  <si>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</si>
  <si>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</si>
  <si>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</si>
  <si>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</si>
  <si>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</si>
  <si>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</si>
  <si>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</si>
  <si>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</si>
  <si>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</si>
  <si>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</si>
  <si>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</si>
  <si>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</si>
  <si>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</si>
  <si>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</si>
  <si>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</si>
  <si>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</si>
  <si>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</si>
  <si>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</si>
  <si>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</si>
  <si>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</si>
  <si>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</si>
  <si>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</si>
  <si>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</si>
  <si>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</si>
  <si>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</si>
  <si>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</si>
  <si>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</si>
  <si>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</si>
  <si>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</si>
  <si>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</si>
  <si>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</si>
  <si>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</si>
  <si>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</si>
  <si>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</si>
  <si>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</si>
  <si>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</si>
  <si>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</si>
  <si>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</si>
  <si>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</si>
  <si>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</si>
  <si>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</si>
  <si>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</si>
  <si>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</si>
  <si>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</si>
  <si>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</si>
  <si>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</si>
  <si>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</si>
  <si>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</si>
  <si>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</si>
  <si>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</si>
  <si>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</si>
  <si>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</si>
  <si>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</si>
  <si>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</si>
  <si>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</si>
  <si>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</si>
  <si>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</si>
  <si>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</si>
  <si>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</si>
  <si>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</si>
  <si>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</si>
  <si>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</si>
  <si>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</si>
  <si>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</si>
  <si>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</si>
  <si>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</si>
  <si>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</si>
  <si>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</si>
  <si>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</si>
  <si>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</si>
  <si>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</si>
  <si>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</si>
  <si>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</si>
  <si>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</si>
  <si>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</si>
  <si>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</si>
  <si>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</si>
  <si>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</si>
  <si>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</si>
  <si>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</si>
  <si>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</si>
  <si>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</si>
  <si>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</si>
  <si>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</si>
  <si>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</si>
  <si>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</si>
  <si>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</si>
  <si>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</si>
  <si>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</si>
  <si>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</si>
  <si>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</si>
  <si>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</si>
  <si>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</si>
  <si>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</si>
  <si>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</si>
  <si>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</si>
  <si>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</si>
  <si>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</si>
  <si>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</si>
  <si>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</si>
  <si>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</si>
  <si>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</si>
  <si>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</si>
  <si>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</si>
  <si>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</si>
  <si>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</si>
  <si>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</si>
  <si>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</si>
  <si>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</si>
  <si>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</si>
  <si>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</si>
  <si>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</si>
  <si>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</si>
  <si>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</si>
  <si>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</si>
  <si>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</si>
  <si>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</si>
  <si>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</si>
  <si>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</si>
  <si>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</si>
  <si>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</si>
  <si>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</si>
  <si>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</si>
  <si>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</si>
  <si>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</si>
  <si>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</si>
  <si>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</si>
  <si>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</si>
  <si>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</si>
  <si>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</si>
  <si>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</si>
  <si>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</si>
  <si>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</si>
  <si>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</si>
  <si>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</si>
  <si>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</si>
  <si>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</si>
  <si>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</si>
  <si>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</si>
  <si>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</si>
  <si>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</si>
  <si>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</si>
  <si>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</si>
  <si>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</si>
  <si>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</si>
  <si>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</si>
  <si>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</si>
  <si>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</si>
  <si>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</si>
  <si>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</si>
  <si>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</si>
  <si>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</si>
  <si>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</si>
  <si>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</si>
  <si>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</si>
  <si>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</si>
  <si>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</si>
  <si>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</si>
  <si>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</si>
  <si>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</si>
  <si>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</si>
  <si>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</si>
  <si>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</si>
  <si>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</si>
  <si>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</si>
  <si>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</si>
  <si>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</si>
  <si>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</si>
  <si>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</si>
  <si>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</si>
  <si>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</si>
  <si>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</si>
  <si>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</si>
  <si>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</si>
  <si>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</si>
  <si>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</si>
  <si>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</si>
  <si>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</si>
  <si>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</si>
  <si>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</si>
  <si>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</si>
  <si>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</si>
  <si>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</si>
  <si>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</si>
  <si>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</si>
  <si>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</si>
  <si>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</si>
  <si>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</si>
  <si>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</si>
  <si>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</si>
  <si>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</si>
  <si>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</si>
  <si>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</si>
  <si>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</si>
  <si>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</si>
  <si>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</si>
  <si>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</si>
  <si>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</si>
  <si>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</si>
  <si>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</si>
  <si>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</si>
  <si>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</si>
  <si>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</si>
  <si>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</si>
  <si>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</si>
  <si>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</si>
  <si>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</si>
  <si>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</si>
  <si>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</si>
  <si>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</si>
  <si>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</si>
  <si>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</si>
  <si>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</si>
  <si>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</si>
  <si>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</si>
  <si>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</si>
  <si>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</si>
  <si>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</si>
  <si>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</si>
  <si>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</si>
  <si>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</si>
  <si>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</si>
  <si>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</si>
  <si>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</si>
  <si>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</si>
  <si>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</si>
  <si>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</si>
  <si>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</si>
  <si>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</si>
  <si>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</si>
  <si>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</si>
  <si>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</si>
  <si>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</si>
  <si>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</si>
  <si>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</si>
  <si>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</si>
  <si>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</si>
  <si>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</si>
  <si>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</si>
  <si>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</si>
  <si>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</si>
  <si>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</si>
  <si>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</si>
  <si>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</si>
  <si>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</si>
  <si>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</si>
  <si>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</si>
  <si>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</si>
  <si>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</si>
  <si>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</si>
  <si>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</si>
  <si>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</si>
  <si>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</si>
  <si>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Dataset</t>
  </si>
  <si>
    <t>Date &amp; Time Function</t>
  </si>
  <si>
    <t>1. TODAY</t>
  </si>
  <si>
    <t>2. Now</t>
  </si>
  <si>
    <t>3. DATEDIF</t>
  </si>
  <si>
    <t>4. EOMONTH</t>
  </si>
  <si>
    <t>2. Filter the Rows where Customer Segment is "Premium".</t>
  </si>
  <si>
    <t>Filter Function</t>
  </si>
  <si>
    <t>Timestamp</t>
  </si>
  <si>
    <t>1. Fill with Now if there are Blank Cell</t>
  </si>
  <si>
    <t>Best Case</t>
  </si>
  <si>
    <t>Average Case</t>
  </si>
  <si>
    <t>Worst Case</t>
  </si>
  <si>
    <t>$I$407</t>
  </si>
  <si>
    <t>$I$408</t>
  </si>
  <si>
    <t>Created by Lenovo on 29-05-2026</t>
  </si>
  <si>
    <t>Scenario Summary</t>
  </si>
  <si>
    <t>Changing Cells:</t>
  </si>
  <si>
    <t>Current Values:</t>
  </si>
  <si>
    <t>Notes:  Current Values column represents values of changing cells at</t>
  </si>
  <si>
    <t>time Scenario Summary Report was created.  Changing cells for each</t>
  </si>
  <si>
    <t>scenario are highlighted in gray.</t>
  </si>
  <si>
    <t>$I$409</t>
  </si>
  <si>
    <t>Result Cells:</t>
  </si>
  <si>
    <t>1. Scenario Manger</t>
  </si>
  <si>
    <t>2. Goal Seek</t>
  </si>
  <si>
    <t>WHAT - IF Analysis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</si>
  <si>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</si>
  <si>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</si>
  <si>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</si>
  <si>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</si>
  <si>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</si>
  <si>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</si>
  <si>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</si>
  <si>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</si>
  <si>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</si>
  <si>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</si>
  <si>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</si>
  <si>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</si>
  <si>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</si>
  <si>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</si>
  <si>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</si>
  <si>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</si>
  <si>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</si>
  <si>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</si>
  <si>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</si>
  <si>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</si>
  <si>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</si>
  <si>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</si>
  <si>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</si>
  <si>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</si>
  <si>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</si>
  <si>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Group By Function</t>
  </si>
  <si>
    <t>1. Total Amount Per Customer</t>
  </si>
  <si>
    <t>Row Labels</t>
  </si>
  <si>
    <t>Grand Total</t>
  </si>
  <si>
    <t>Sum of Total_Amount</t>
  </si>
  <si>
    <t>Sum of Quantity</t>
  </si>
  <si>
    <t>Total Revenue</t>
  </si>
  <si>
    <t>Total Orders</t>
  </si>
  <si>
    <t>Total Customers</t>
  </si>
  <si>
    <t>1.  Filter the Rows where Category is "Electronics" and Region is "West".</t>
  </si>
  <si>
    <t>1. Find most frequently purchased product or repeating names using formulas</t>
  </si>
  <si>
    <t>MODE Function</t>
  </si>
  <si>
    <t>Text Function</t>
  </si>
  <si>
    <t>1. Create Abbreviations using TEXT Function.</t>
  </si>
  <si>
    <t>Monthly Revenue Trend</t>
  </si>
  <si>
    <t>MONTH</t>
  </si>
  <si>
    <t>Most Product Sold</t>
  </si>
  <si>
    <t>01</t>
  </si>
  <si>
    <t>02</t>
  </si>
  <si>
    <t>03</t>
  </si>
  <si>
    <t>04</t>
  </si>
  <si>
    <t>05</t>
  </si>
  <si>
    <t>06</t>
  </si>
  <si>
    <t>07</t>
  </si>
  <si>
    <t>08</t>
  </si>
  <si>
    <t>09</t>
  </si>
  <si>
    <t>10</t>
  </si>
  <si>
    <t>11</t>
  </si>
  <si>
    <t>12</t>
  </si>
  <si>
    <t>Total Revenue Per Category</t>
  </si>
  <si>
    <t>Top 5 Customer</t>
  </si>
  <si>
    <t>Regional Sales</t>
  </si>
  <si>
    <t>Highest Customer Revenue</t>
  </si>
  <si>
    <t>The Most Sold Product is : Bookshelf -&gt; 102 Quantity Sold</t>
  </si>
  <si>
    <t>The Highest Revenue Category is : Electronics -&gt; 75%</t>
  </si>
  <si>
    <t xml:space="preserve">The Lowest Revenue Category is : Appliances -&gt; 4% Only </t>
  </si>
  <si>
    <t>The Lowest Sold Product is : Cooffee Maker -&gt; 39 Quantity Sold Only</t>
  </si>
  <si>
    <t xml:space="preserve">We Got the Highest Revenue in the Month of  "4th" : April -&gt; 27,899.16 </t>
  </si>
  <si>
    <t>Also We got the Lowest Revenue in the Month of  "11th" : November -&gt; 12,309.44 Only</t>
  </si>
  <si>
    <t>Average Order Value</t>
  </si>
  <si>
    <t>Amazone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</si>
</sst>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family val="2"/>
      <scheme val="minor"/>
    </font>
    <font>
      <b/>
      <sz val="11"/>
      <color theme="1"/>
      <name val="Aptos Narrow"/>
      <family val="2"/>
      <scheme val="minor"/>
    </font>
    <font>
      <sz val="11"/>
      <color theme="0"/>
      <name val="Aptos Narrow"/>
      <family val="2"/>
      <scheme val="minor"/>
    </font>
    <font>
      <b/>
      <sz val="11"/>
      <color rgb="FF000000"/>
      <name val="Calibri"/>
      <family val="2"/>
    </font>
    <font>
      <sz val="11"/>
      <color rgb="FF000000"/>
      <name val="Calibri"/>
      <family val="2"/>
    </font>
    <font>
      <sz val="11"/>
      <color rgb="FF000000"/>
      <name val="Calibri"/>
      <family val="2"/>
    </font>
    <font>
      <b/>
      <sz val="11"/>
      <color rgb="FF367526"/>
      <name val="Calibri"/>
      <family val="2"/>
    </font>
    <font>
      <sz val="11"/>
      <color rgb="FF38761D"/>
      <name val="Calibri"/>
      <family val="2"/>
    </font>
    <font>
      <b/>
      <sz val="20"/>
      <color theme="0"/>
      <name val="Algerian"/>
      <family val="5"/>
    </font>
    <font>
      <sz val="11"/>
      <color theme="0"/>
      <name val="Algerian"/>
      <family val="5"/>
    </font>
    <font>
      <b/>
      <sz val="11"/>
      <color theme="1"/>
      <name val="Calibri"/>
      <family val="2"/>
    </font>
    <font>
      <sz val="11"/>
      <color theme="1"/>
      <name val="Calibri"/>
      <family val="2"/>
    </font>
    <font>
      <b/>
      <sz val="22"/>
      <color theme="0"/>
      <name val="Algerian"/>
      <family val="5"/>
    </font>
    <font>
      <b/>
      <sz val="11"/>
      <color theme="1"/>
      <name val="Arial Black"/>
      <family val="2"/>
    </font>
    <font>
      <b/>
      <sz val="10"/>
      <color theme="1"/>
      <name val="Arial Black"/>
      <family val="2"/>
    </font>
    <font>
      <sz val="10"/>
      <color theme="1"/>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family val="2"/>
      <scheme val="minor"/>
    </font>
    <font>
      <b/>
      <sz val="18"/>
      <color theme="0"/>
      <name val="Algerian"/>
      <family val="5"/>
    </font>
    <font>
      <b/>
      <i/>
      <sz val="11"/>
      <color theme="1"/>
      <name val="Aptos Narrow"/>
      <family val="2"/>
      <scheme val="minor"/>
    </font>
    <font>
      <b/>
      <sz val="11"/>
      <color theme="2"/>
      <name val="Algerian"/>
      <family val="5"/>
    </font>
    <font>
      <b/>
      <sz val="16"/>
      <color theme="2"/>
      <name val="Arial Black"/>
      <family val="2"/>
    </font>
    <font>
      <sz val="16"/>
      <color theme="0"/>
      <name val="Algerian"/>
      <family val="5"/>
    </font>
    <font>
      <sz val="9"/>
      <color theme="1"/>
      <name val="Arial Black"/>
      <family val="2"/>
    </font>
    <font>
      <b/>
      <sz val="11"/>
      <color theme="1"/>
      <name val="Algerian"/>
      <family val="5"/>
    </font>
    <font>
      <sz val="14"/>
      <color theme="1"/>
      <name val="Arial Black"/>
      <family val="2"/>
    </font>
    <font>
      <b/>
      <sz val="14"/>
      <color theme="1"/>
      <name val="Arial Black"/>
      <family val="2"/>
    </font>
    <font>
      <sz val="14"/>
      <color theme="1"/>
      <name val="Aptos Narrow"/>
      <family val="2"/>
      <scheme val="minor"/>
    </font>
    <font>
      <b/>
      <sz val="9"/>
      <color theme="1"/>
      <name val="Aptos Narrow"/>
      <family val="2"/>
      <scheme val="minor"/>
    </font>
    <font>
      <b/>
      <sz val="10"/>
      <color theme="1"/>
      <name val="Aptos Narrow"/>
      <family val="2"/>
      <scheme val="minor"/>
    </font>
    <font>
      <b/>
      <sz val="26"/>
      <color theme="0"/>
      <name val="Aptos Display"/>
      <family val="2"/>
    </font>
    <font>
      <b/>
      <sz val="12"/>
      <color theme="2"/>
      <name val="Arial Black"/>
      <family val="2"/>
    </font>
    <font>
      <b/>
      <sz val="11"/>
      <color theme="0"/>
      <name val="Algerian"/>
      <family val="5"/>
    </font>
    <font>
      <sz val="8"/>
      <color theme="0"/>
      <name val="Algerian"/>
      <family val="5"/>
    </font>
    <font>
      <sz val="11"/>
      <color rgb="FFFF0000"/>
      <name val="Aptos Narrow"/>
      <family val="2"/>
      <scheme val="minor"/>
    </font>
  </fonts>
  <fills count="23">
    <fill>
      <patternFill patternType="none"/>
    </fill>
    <fill>
      <patternFill patternType="gray125"/>
    </fill>
    <fill>
      <patternFill patternType="solid">
        <fgColor rgb="FFFFF2CC"/>
        <bgColor rgb="FF000000"/>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499984740745262"/>
        <bgColor indexed="64"/>
      </patternFill>
    </fill>
    <fill>
      <patternFill patternType="solid">
        <fgColor theme="3"/>
        <bgColor indexed="64"/>
      </patternFill>
    </fill>
    <fill>
      <patternFill patternType="solid">
        <fgColor theme="9" tint="0.79998168889431442"/>
        <bgColor indexed="64"/>
      </patternFill>
    </fill>
    <fill>
      <patternFill patternType="solid">
        <fgColor theme="0"/>
        <bgColor indexed="64"/>
      </patternFill>
    </fill>
    <fill>
      <patternFill patternType="solid">
        <fgColor theme="3" tint="0.89999084444715716"/>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9" tint="0.59999389629810485"/>
        <bgColor indexed="64"/>
      </patternFill>
    </fill>
    <fill>
      <patternFill patternType="solid">
        <fgColor theme="0" tint="-0.249977111117893"/>
        <bgColor indexed="64"/>
      </patternFill>
    </fill>
    <fill>
      <patternFill patternType="solid">
        <fgColor theme="3" tint="9.9978637043366805E-2"/>
        <bgColor indexed="64"/>
      </patternFill>
    </fill>
    <fill>
      <patternFill patternType="solid">
        <fgColor theme="6"/>
        <bgColor indexed="64"/>
      </patternFill>
    </fill>
    <fill>
      <patternFill patternType="solid">
        <fgColor theme="6" tint="0.79998168889431442"/>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theme="9" tint="-0.499984740745262"/>
        <bgColor indexed="64"/>
      </patternFill>
    </fill>
    <fill>
      <patternFill patternType="solid">
        <fgColor theme="3" tint="0.749992370372631"/>
        <bgColor indexed="64"/>
      </patternFill>
    </fill>
    <fill>
      <patternFill patternType="solid">
        <fgColor theme="3" tint="0.249977111117893"/>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140">
    <xf numFmtId="0" fontId="0" fillId="0" borderId="0" xfId="0"/>
    <xf numFmtId="0" fontId="3" fillId="2" borderId="1" xfId="0" applyFont="1" applyFill="1" applyBorder="1" applyAlignment="1">
      <alignment horizontal="center"/>
    </xf>
    <xf numFmtId="0" fontId="3" fillId="0" borderId="1" xfId="0" applyFont="1" applyBorder="1"/>
    <xf numFmtId="0" fontId="4" fillId="0" borderId="1" xfId="0" applyFont="1" applyBorder="1"/>
    <xf numFmtId="0" fontId="5" fillId="0" borderId="1" xfId="0" applyFont="1" applyBorder="1"/>
    <xf numFmtId="0" fontId="6" fillId="0" borderId="1" xfId="0" applyFont="1" applyBorder="1"/>
    <xf numFmtId="0" fontId="7" fillId="0" borderId="1" xfId="0" applyFont="1" applyBorder="1"/>
    <xf numFmtId="14" fontId="0" fillId="0" borderId="0" xfId="0" applyNumberFormat="1"/>
    <xf numFmtId="0" fontId="0" fillId="4" borderId="0" xfId="0" applyFill="1"/>
    <xf numFmtId="0" fontId="0" fillId="4" borderId="2" xfId="0" applyFill="1" applyBorder="1"/>
    <xf numFmtId="22" fontId="0" fillId="0" borderId="0" xfId="0" applyNumberFormat="1"/>
    <xf numFmtId="0" fontId="10" fillId="0" borderId="3" xfId="0" applyFont="1" applyBorder="1" applyAlignment="1">
      <alignment wrapText="1"/>
    </xf>
    <xf numFmtId="0" fontId="11" fillId="0" borderId="3" xfId="0" applyFont="1" applyBorder="1" applyAlignment="1">
      <alignment wrapText="1"/>
    </xf>
    <xf numFmtId="14" fontId="11" fillId="0" borderId="3" xfId="0" applyNumberFormat="1" applyFont="1" applyBorder="1" applyAlignment="1">
      <alignment horizontal="right" wrapText="1"/>
    </xf>
    <xf numFmtId="0" fontId="11" fillId="0" borderId="3" xfId="0" applyFont="1" applyBorder="1" applyAlignment="1">
      <alignment horizontal="right" wrapText="1"/>
    </xf>
    <xf numFmtId="0" fontId="10" fillId="0" borderId="2" xfId="0" applyFont="1" applyBorder="1" applyAlignment="1">
      <alignment horizontal="center" vertical="center" wrapText="1"/>
    </xf>
    <xf numFmtId="14" fontId="10" fillId="0" borderId="2" xfId="0" applyNumberFormat="1" applyFont="1" applyBorder="1" applyAlignment="1">
      <alignment horizontal="center" vertical="center" wrapText="1"/>
    </xf>
    <xf numFmtId="0" fontId="10" fillId="0" borderId="4"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14" fontId="10" fillId="0" borderId="10" xfId="0" applyNumberFormat="1" applyFont="1" applyBorder="1" applyAlignment="1">
      <alignment horizontal="center" vertical="center" wrapText="1"/>
    </xf>
    <xf numFmtId="0" fontId="10" fillId="0" borderId="10" xfId="0" applyFont="1" applyBorder="1" applyAlignment="1">
      <alignment horizontal="center" vertical="center" wrapText="1"/>
    </xf>
    <xf numFmtId="0" fontId="1" fillId="4" borderId="2" xfId="0" applyFont="1" applyFill="1" applyBorder="1" applyAlignment="1">
      <alignment horizontal="center" vertical="center"/>
    </xf>
    <xf numFmtId="0" fontId="0" fillId="0" borderId="2" xfId="0" applyBorder="1"/>
    <xf numFmtId="14" fontId="1" fillId="7" borderId="2" xfId="0" applyNumberFormat="1" applyFont="1" applyFill="1" applyBorder="1" applyAlignment="1">
      <alignment horizontal="center" vertical="center"/>
    </xf>
    <xf numFmtId="22" fontId="1" fillId="7" borderId="2" xfId="0" applyNumberFormat="1" applyFont="1" applyFill="1" applyBorder="1" applyAlignment="1">
      <alignment horizontal="center" vertical="center"/>
    </xf>
    <xf numFmtId="1" fontId="1" fillId="7" borderId="2" xfId="0" applyNumberFormat="1" applyFont="1" applyFill="1" applyBorder="1" applyAlignment="1">
      <alignment horizontal="center" vertical="center"/>
    </xf>
    <xf numFmtId="0" fontId="1" fillId="0" borderId="0" xfId="0" applyFont="1" applyAlignment="1">
      <alignment horizontal="center" vertical="center"/>
    </xf>
    <xf numFmtId="0" fontId="1" fillId="7" borderId="2" xfId="0" applyFont="1" applyFill="1" applyBorder="1" applyAlignment="1">
      <alignment horizontal="center" vertical="center"/>
    </xf>
    <xf numFmtId="0" fontId="1" fillId="0" borderId="0" xfId="0" applyFont="1" applyAlignment="1">
      <alignment vertical="center"/>
    </xf>
    <xf numFmtId="0" fontId="1" fillId="0" borderId="2" xfId="0" applyFont="1" applyBorder="1" applyAlignment="1">
      <alignment vertical="center"/>
    </xf>
    <xf numFmtId="0" fontId="1" fillId="7" borderId="7" xfId="0" applyFont="1" applyFill="1" applyBorder="1" applyAlignment="1">
      <alignment horizontal="center" vertical="center"/>
    </xf>
    <xf numFmtId="0" fontId="0" fillId="9" borderId="2" xfId="0" applyFill="1" applyBorder="1" applyAlignment="1">
      <alignment horizontal="center" vertical="center"/>
    </xf>
    <xf numFmtId="0" fontId="1" fillId="0" borderId="6" xfId="0" applyFont="1" applyBorder="1" applyAlignment="1">
      <alignment horizontal="center" vertical="center"/>
    </xf>
    <xf numFmtId="0" fontId="16" fillId="10" borderId="12" xfId="0" applyFont="1" applyFill="1" applyBorder="1" applyAlignment="1">
      <alignment horizontal="left"/>
    </xf>
    <xf numFmtId="0" fontId="16" fillId="10" borderId="14" xfId="0" applyFont="1" applyFill="1" applyBorder="1" applyAlignment="1">
      <alignment horizontal="left"/>
    </xf>
    <xf numFmtId="0" fontId="0" fillId="0" borderId="13" xfId="0" applyBorder="1"/>
    <xf numFmtId="0" fontId="17" fillId="11" borderId="0" xfId="0" applyFont="1" applyFill="1" applyAlignment="1">
      <alignment horizontal="left"/>
    </xf>
    <xf numFmtId="0" fontId="18" fillId="11" borderId="13" xfId="0" applyFont="1" applyFill="1" applyBorder="1" applyAlignment="1">
      <alignment horizontal="left"/>
    </xf>
    <xf numFmtId="0" fontId="19" fillId="10" borderId="14" xfId="0" applyFont="1" applyFill="1" applyBorder="1" applyAlignment="1">
      <alignment horizontal="right"/>
    </xf>
    <xf numFmtId="0" fontId="19" fillId="10" borderId="12" xfId="0" applyFont="1" applyFill="1" applyBorder="1" applyAlignment="1">
      <alignment horizontal="right"/>
    </xf>
    <xf numFmtId="0" fontId="20" fillId="0" borderId="0" xfId="0" applyFont="1" applyAlignment="1">
      <alignment vertical="top" wrapText="1"/>
    </xf>
    <xf numFmtId="1" fontId="0" fillId="0" borderId="0" xfId="0" applyNumberFormat="1"/>
    <xf numFmtId="1" fontId="0" fillId="0" borderId="15" xfId="0" applyNumberFormat="1" applyBorder="1"/>
    <xf numFmtId="0" fontId="17" fillId="11" borderId="15" xfId="0" applyFont="1" applyFill="1" applyBorder="1" applyAlignment="1">
      <alignment horizontal="left"/>
    </xf>
    <xf numFmtId="1" fontId="0" fillId="12" borderId="0" xfId="0" applyNumberFormat="1" applyFill="1"/>
    <xf numFmtId="0" fontId="1" fillId="0" borderId="7" xfId="0" applyFont="1" applyBorder="1" applyAlignment="1">
      <alignment horizontal="center" vertical="center"/>
    </xf>
    <xf numFmtId="0" fontId="0" fillId="4" borderId="2" xfId="0" applyFill="1" applyBorder="1" applyAlignment="1">
      <alignment horizontal="center" vertical="center"/>
    </xf>
    <xf numFmtId="0" fontId="1" fillId="13" borderId="7" xfId="0" applyFont="1" applyFill="1" applyBorder="1" applyAlignment="1">
      <alignment horizontal="center" vertical="center"/>
    </xf>
    <xf numFmtId="0" fontId="1" fillId="13" borderId="2" xfId="0" applyFont="1" applyFill="1" applyBorder="1" applyAlignment="1">
      <alignment horizontal="center" vertical="center"/>
    </xf>
    <xf numFmtId="0" fontId="1" fillId="13" borderId="10" xfId="0" applyFont="1" applyFill="1" applyBorder="1" applyAlignment="1">
      <alignment horizontal="center" vertical="center"/>
    </xf>
    <xf numFmtId="0" fontId="0" fillId="13" borderId="2" xfId="0" applyFill="1" applyBorder="1"/>
    <xf numFmtId="0" fontId="1" fillId="8" borderId="7" xfId="0" applyFont="1" applyFill="1" applyBorder="1" applyAlignment="1">
      <alignment horizontal="center" vertical="center"/>
    </xf>
    <xf numFmtId="0" fontId="1" fillId="13" borderId="6" xfId="0" applyFont="1" applyFill="1" applyBorder="1" applyAlignment="1">
      <alignment horizontal="center" vertical="center"/>
    </xf>
    <xf numFmtId="1" fontId="0" fillId="14" borderId="2" xfId="0" applyNumberFormat="1" applyFill="1" applyBorder="1"/>
    <xf numFmtId="0" fontId="1" fillId="0" borderId="15" xfId="0" applyFont="1" applyBorder="1" applyAlignment="1">
      <alignment vertical="center"/>
    </xf>
    <xf numFmtId="0" fontId="22" fillId="0" borderId="16" xfId="0" applyFont="1" applyBorder="1" applyAlignment="1">
      <alignment horizontal="center" vertical="center"/>
    </xf>
    <xf numFmtId="0" fontId="22" fillId="0" borderId="2" xfId="0" applyFont="1" applyBorder="1" applyAlignment="1">
      <alignment horizontal="center" vertical="center"/>
    </xf>
    <xf numFmtId="0" fontId="1" fillId="0" borderId="2" xfId="0" applyFont="1" applyBorder="1" applyAlignment="1">
      <alignment horizontal="center" vertical="center"/>
    </xf>
    <xf numFmtId="2" fontId="10" fillId="0" borderId="5" xfId="0" applyNumberFormat="1" applyFont="1" applyBorder="1" applyAlignment="1">
      <alignment horizontal="center" vertical="center" wrapText="1"/>
    </xf>
    <xf numFmtId="2" fontId="10" fillId="0" borderId="11" xfId="0" applyNumberFormat="1" applyFont="1" applyBorder="1" applyAlignment="1">
      <alignment horizontal="center" vertical="center" wrapText="1"/>
    </xf>
    <xf numFmtId="1" fontId="10" fillId="0" borderId="2" xfId="0" applyNumberFormat="1" applyFont="1" applyBorder="1" applyAlignment="1">
      <alignment horizontal="center" vertical="center" wrapText="1"/>
    </xf>
    <xf numFmtId="1" fontId="10" fillId="0" borderId="10" xfId="0" applyNumberFormat="1" applyFont="1" applyBorder="1" applyAlignment="1">
      <alignment horizontal="center" vertical="center" wrapText="1"/>
    </xf>
    <xf numFmtId="2" fontId="10" fillId="0" borderId="2" xfId="0" applyNumberFormat="1" applyFont="1" applyBorder="1" applyAlignment="1">
      <alignment horizontal="center" vertical="center" wrapText="1"/>
    </xf>
    <xf numFmtId="2" fontId="10" fillId="0" borderId="10" xfId="0" applyNumberFormat="1" applyFont="1" applyBorder="1" applyAlignment="1">
      <alignment horizontal="center" vertical="center" wrapText="1"/>
    </xf>
    <xf numFmtId="0" fontId="0" fillId="7" borderId="2" xfId="0" applyFill="1" applyBorder="1" applyAlignment="1">
      <alignment horizontal="center" vertical="center"/>
    </xf>
    <xf numFmtId="0" fontId="23" fillId="8" borderId="0" xfId="0" applyFont="1" applyFill="1" applyAlignment="1">
      <alignment vertical="center"/>
    </xf>
    <xf numFmtId="0" fontId="13" fillId="4" borderId="0" xfId="0" applyFont="1" applyFill="1"/>
    <xf numFmtId="0" fontId="0" fillId="0" borderId="0" xfId="0" applyAlignment="1">
      <alignment horizontal="center"/>
    </xf>
    <xf numFmtId="2" fontId="1" fillId="17" borderId="2" xfId="0" applyNumberFormat="1" applyFont="1" applyFill="1" applyBorder="1" applyAlignment="1">
      <alignment vertical="center"/>
    </xf>
    <xf numFmtId="0" fontId="1" fillId="8" borderId="2" xfId="0" applyFont="1" applyFill="1" applyBorder="1" applyAlignment="1">
      <alignment horizontal="center" vertical="center"/>
    </xf>
    <xf numFmtId="0" fontId="0" fillId="8" borderId="2" xfId="0" applyFill="1" applyBorder="1"/>
    <xf numFmtId="0" fontId="0" fillId="0" borderId="17" xfId="0" applyBorder="1"/>
    <xf numFmtId="0" fontId="13" fillId="7" borderId="2" xfId="0" applyFont="1" applyFill="1" applyBorder="1" applyAlignment="1">
      <alignment horizontal="center" vertical="center"/>
    </xf>
    <xf numFmtId="0" fontId="1" fillId="0" borderId="2" xfId="0" pivotButton="1" applyFont="1" applyBorder="1" applyAlignment="1">
      <alignment horizontal="center" vertical="center"/>
    </xf>
    <xf numFmtId="2" fontId="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1" fillId="19" borderId="2" xfId="0" applyFont="1" applyFill="1" applyBorder="1" applyAlignment="1">
      <alignment horizontal="center" vertical="center"/>
    </xf>
    <xf numFmtId="2" fontId="1" fillId="19" borderId="2" xfId="0" applyNumberFormat="1" applyFont="1" applyFill="1" applyBorder="1" applyAlignment="1">
      <alignment horizontal="center" vertical="center"/>
    </xf>
    <xf numFmtId="0" fontId="0" fillId="8" borderId="0" xfId="0" applyFill="1"/>
    <xf numFmtId="0" fontId="0" fillId="21" borderId="18" xfId="0" applyFill="1" applyBorder="1"/>
    <xf numFmtId="0" fontId="0" fillId="21" borderId="0" xfId="0" applyFill="1"/>
    <xf numFmtId="0" fontId="0" fillId="21" borderId="19" xfId="0" applyFill="1" applyBorder="1"/>
    <xf numFmtId="0" fontId="0" fillId="21" borderId="9" xfId="0" applyFill="1" applyBorder="1"/>
    <xf numFmtId="0" fontId="0" fillId="21" borderId="8" xfId="0" applyFill="1" applyBorder="1"/>
    <xf numFmtId="0" fontId="0" fillId="21" borderId="6" xfId="0" applyFill="1" applyBorder="1"/>
    <xf numFmtId="0" fontId="0" fillId="21" borderId="11" xfId="0" applyFill="1" applyBorder="1"/>
    <xf numFmtId="0" fontId="37" fillId="8" borderId="0" xfId="0" applyFont="1" applyFill="1"/>
    <xf numFmtId="0" fontId="12" fillId="6" borderId="0" xfId="0" applyFont="1" applyFill="1" applyAlignment="1">
      <alignment horizontal="center" vertical="center"/>
    </xf>
    <xf numFmtId="0" fontId="27" fillId="3" borderId="2" xfId="0" applyFont="1" applyFill="1" applyBorder="1" applyAlignment="1">
      <alignment horizontal="center" vertical="center"/>
    </xf>
    <xf numFmtId="0" fontId="13" fillId="4" borderId="2" xfId="0" applyFont="1" applyFill="1" applyBorder="1" applyAlignment="1">
      <alignment horizontal="center" vertical="center"/>
    </xf>
    <xf numFmtId="0" fontId="0" fillId="3" borderId="2" xfId="0" applyFill="1" applyBorder="1" applyAlignment="1">
      <alignment horizontal="center"/>
    </xf>
    <xf numFmtId="0" fontId="21" fillId="18" borderId="2" xfId="0" applyFont="1" applyFill="1" applyBorder="1" applyAlignment="1">
      <alignment horizontal="center" vertical="center"/>
    </xf>
    <xf numFmtId="0" fontId="25" fillId="15" borderId="2" xfId="0" applyFont="1" applyFill="1" applyBorder="1" applyAlignment="1">
      <alignment horizontal="center" vertical="center"/>
    </xf>
    <xf numFmtId="0" fontId="26" fillId="4" borderId="2" xfId="0" applyFont="1" applyFill="1" applyBorder="1" applyAlignment="1">
      <alignment horizontal="center"/>
    </xf>
    <xf numFmtId="0" fontId="23" fillId="15" borderId="0" xfId="0" applyFont="1" applyFill="1" applyAlignment="1">
      <alignment horizontal="center" vertical="center"/>
    </xf>
    <xf numFmtId="0" fontId="0" fillId="9" borderId="0" xfId="0" applyFill="1" applyAlignment="1">
      <alignment horizontal="center"/>
    </xf>
    <xf numFmtId="0" fontId="8" fillId="5" borderId="0" xfId="0" applyFont="1" applyFill="1" applyAlignment="1">
      <alignment horizontal="center" vertical="center"/>
    </xf>
    <xf numFmtId="0" fontId="8" fillId="5" borderId="12" xfId="0" applyFont="1" applyFill="1" applyBorder="1" applyAlignment="1">
      <alignment horizontal="center" vertical="center"/>
    </xf>
    <xf numFmtId="0" fontId="0" fillId="3" borderId="10" xfId="0" applyFill="1" applyBorder="1" applyAlignment="1">
      <alignment horizontal="center"/>
    </xf>
    <xf numFmtId="0" fontId="8" fillId="5" borderId="2" xfId="0" applyFont="1" applyFill="1" applyBorder="1" applyAlignment="1">
      <alignment horizontal="center" vertical="center"/>
    </xf>
    <xf numFmtId="0" fontId="9" fillId="5" borderId="2" xfId="0" applyFont="1" applyFill="1" applyBorder="1" applyAlignment="1">
      <alignment horizontal="center" vertical="center"/>
    </xf>
    <xf numFmtId="0" fontId="21" fillId="5" borderId="0" xfId="0" applyFont="1" applyFill="1" applyAlignment="1">
      <alignment horizontal="center"/>
    </xf>
    <xf numFmtId="0" fontId="2" fillId="5" borderId="0" xfId="0" applyFont="1" applyFill="1" applyAlignment="1">
      <alignment horizontal="center"/>
    </xf>
    <xf numFmtId="0" fontId="2" fillId="5" borderId="12" xfId="0" applyFont="1" applyFill="1" applyBorder="1" applyAlignment="1">
      <alignment horizontal="center"/>
    </xf>
    <xf numFmtId="0" fontId="0" fillId="9" borderId="2" xfId="0" applyFill="1" applyBorder="1" applyAlignment="1">
      <alignment horizontal="center"/>
    </xf>
    <xf numFmtId="0" fontId="13" fillId="4" borderId="2" xfId="0" applyFont="1" applyFill="1" applyBorder="1" applyAlignment="1">
      <alignment horizontal="center"/>
    </xf>
    <xf numFmtId="0" fontId="13" fillId="4" borderId="5" xfId="0" applyFont="1" applyFill="1" applyBorder="1" applyAlignment="1">
      <alignment horizontal="center"/>
    </xf>
    <xf numFmtId="0" fontId="13" fillId="4" borderId="13" xfId="0" applyFont="1" applyFill="1" applyBorder="1" applyAlignment="1">
      <alignment horizontal="center"/>
    </xf>
    <xf numFmtId="0" fontId="13" fillId="4" borderId="4" xfId="0" applyFont="1" applyFill="1" applyBorder="1" applyAlignment="1">
      <alignment horizontal="center"/>
    </xf>
    <xf numFmtId="0" fontId="8" fillId="5" borderId="0" xfId="0" applyFont="1" applyFill="1" applyAlignment="1">
      <alignment horizontal="center"/>
    </xf>
    <xf numFmtId="0" fontId="0" fillId="9" borderId="2" xfId="0" applyFill="1" applyBorder="1" applyAlignment="1">
      <alignment horizontal="center" vertical="center"/>
    </xf>
    <xf numFmtId="0" fontId="14" fillId="4" borderId="2" xfId="0" applyFont="1" applyFill="1" applyBorder="1" applyAlignment="1">
      <alignment horizontal="center" vertical="center"/>
    </xf>
    <xf numFmtId="0" fontId="15" fillId="4" borderId="2" xfId="0" applyFont="1" applyFill="1" applyBorder="1" applyAlignment="1">
      <alignment horizontal="center" vertical="center"/>
    </xf>
    <xf numFmtId="0" fontId="1" fillId="4" borderId="2" xfId="0" applyFont="1" applyFill="1" applyBorder="1" applyAlignment="1">
      <alignment horizontal="center" vertical="center"/>
    </xf>
    <xf numFmtId="0" fontId="22" fillId="0" borderId="2" xfId="0" applyFont="1" applyBorder="1" applyAlignment="1">
      <alignment horizontal="center" vertical="center"/>
    </xf>
    <xf numFmtId="0" fontId="0" fillId="0" borderId="0" xfId="0" applyAlignment="1">
      <alignment horizontal="center"/>
    </xf>
    <xf numFmtId="0" fontId="24" fillId="16" borderId="2" xfId="0" applyFont="1" applyFill="1" applyBorder="1" applyAlignment="1">
      <alignment horizontal="center" vertical="center"/>
    </xf>
    <xf numFmtId="2" fontId="1" fillId="17" borderId="2" xfId="0" applyNumberFormat="1" applyFont="1" applyFill="1" applyBorder="1" applyAlignment="1">
      <alignment horizontal="center" vertical="center"/>
    </xf>
    <xf numFmtId="0" fontId="1" fillId="17" borderId="2" xfId="0" applyFont="1" applyFill="1" applyBorder="1" applyAlignment="1">
      <alignment horizontal="center" vertical="center"/>
    </xf>
    <xf numFmtId="0" fontId="34" fillId="16" borderId="2" xfId="0" applyFont="1" applyFill="1" applyBorder="1" applyAlignment="1">
      <alignment horizontal="center" vertical="center" wrapText="1"/>
    </xf>
    <xf numFmtId="0" fontId="29" fillId="7" borderId="2" xfId="0" applyFont="1" applyFill="1" applyBorder="1" applyAlignment="1">
      <alignment horizontal="center" vertical="center"/>
    </xf>
    <xf numFmtId="0" fontId="0" fillId="7" borderId="2" xfId="0" applyFill="1" applyBorder="1" applyAlignment="1">
      <alignment horizontal="center" vertical="center"/>
    </xf>
    <xf numFmtId="0" fontId="30" fillId="7" borderId="2" xfId="0" applyFont="1" applyFill="1" applyBorder="1" applyAlignment="1">
      <alignment horizontal="center" vertical="center"/>
    </xf>
    <xf numFmtId="0" fontId="14" fillId="7" borderId="2" xfId="0" applyFont="1" applyFill="1" applyBorder="1" applyAlignment="1">
      <alignment horizontal="center" vertical="center"/>
    </xf>
    <xf numFmtId="0" fontId="15" fillId="7" borderId="2" xfId="0" applyFont="1" applyFill="1" applyBorder="1" applyAlignment="1">
      <alignment horizontal="center" vertical="center"/>
    </xf>
    <xf numFmtId="0" fontId="32" fillId="7" borderId="2" xfId="0" applyFont="1" applyFill="1" applyBorder="1" applyAlignment="1">
      <alignment horizontal="center" vertical="center"/>
    </xf>
    <xf numFmtId="0" fontId="28" fillId="7" borderId="2" xfId="0" applyFont="1" applyFill="1" applyBorder="1" applyAlignment="1">
      <alignment horizontal="center" vertical="center"/>
    </xf>
    <xf numFmtId="2" fontId="0" fillId="19" borderId="2" xfId="0" applyNumberFormat="1" applyFill="1" applyBorder="1" applyAlignment="1">
      <alignment horizontal="center"/>
    </xf>
    <xf numFmtId="0" fontId="0" fillId="19" borderId="2" xfId="0" applyFill="1" applyBorder="1" applyAlignment="1">
      <alignment horizontal="center"/>
    </xf>
    <xf numFmtId="0" fontId="1" fillId="9" borderId="2" xfId="0" applyFont="1" applyFill="1" applyBorder="1" applyAlignment="1">
      <alignment horizontal="left" vertical="center"/>
    </xf>
    <xf numFmtId="0" fontId="36" fillId="20" borderId="2" xfId="0" applyFont="1" applyFill="1" applyBorder="1" applyAlignment="1">
      <alignment horizontal="center" vertical="center"/>
    </xf>
    <xf numFmtId="0" fontId="2" fillId="20" borderId="7" xfId="0" applyFont="1" applyFill="1" applyBorder="1" applyAlignment="1">
      <alignment horizontal="center" vertical="center"/>
    </xf>
    <xf numFmtId="2" fontId="31" fillId="17" borderId="5" xfId="0" applyNumberFormat="1" applyFont="1" applyFill="1" applyBorder="1" applyAlignment="1">
      <alignment horizontal="center" vertical="center"/>
    </xf>
    <xf numFmtId="2" fontId="31" fillId="17" borderId="4" xfId="0" applyNumberFormat="1" applyFont="1" applyFill="1" applyBorder="1" applyAlignment="1">
      <alignment horizontal="center" vertical="center"/>
    </xf>
    <xf numFmtId="0" fontId="1" fillId="9" borderId="2" xfId="0" applyFont="1" applyFill="1" applyBorder="1" applyAlignment="1">
      <alignment horizontal="left"/>
    </xf>
    <xf numFmtId="0" fontId="33" fillId="22" borderId="0" xfId="0" applyFont="1" applyFill="1" applyAlignment="1">
      <alignment horizontal="center" vertical="center"/>
    </xf>
    <xf numFmtId="0" fontId="35" fillId="20" borderId="2" xfId="0" applyFont="1" applyFill="1" applyBorder="1" applyAlignment="1">
      <alignment horizontal="center"/>
    </xf>
  </cellXfs>
  <cellStyles count="1">
    <cellStyle name="Normal" xfId="0" builtinId="0"/>
  </cellStyles>
  <dxfs count="88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4.9989318521683403E-2"/>
        </patternFill>
      </fill>
    </dxf>
    <dxf>
      <fill>
        <patternFill patternType="solid">
          <bgColor theme="0" tint="-4.9989318521683403E-2"/>
        </patternFill>
      </fill>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0" tint="-4.9989318521683403E-2"/>
        </patternFill>
      </fill>
    </dxf>
    <dxf>
      <fill>
        <patternFill patternType="solid">
          <bgColor theme="0" tint="-4.9989318521683403E-2"/>
        </patternFill>
      </fill>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4.9989318521683403E-2"/>
        </patternFill>
      </fill>
    </dxf>
    <dxf>
      <fill>
        <patternFill patternType="solid">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4.9989318521683403E-2"/>
        </patternFill>
      </fill>
    </dxf>
    <dxf>
      <fill>
        <patternFill patternType="solid">
          <bgColor theme="0" tint="-4.9989318521683403E-2"/>
        </patternFill>
      </fill>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0" tint="-4.9989318521683403E-2"/>
        </patternFill>
      </fill>
    </dxf>
    <dxf>
      <fill>
        <patternFill patternType="solid">
          <bgColor theme="0" tint="-4.9989318521683403E-2"/>
        </patternFill>
      </fill>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4.9989318521683403E-2"/>
        </patternFill>
      </fill>
    </dxf>
    <dxf>
      <fill>
        <patternFill patternType="solid">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4.9989318521683403E-2"/>
        </patternFill>
      </fill>
    </dxf>
    <dxf>
      <fill>
        <patternFill patternType="solid">
          <bgColor theme="0" tint="-4.9989318521683403E-2"/>
        </patternFill>
      </fill>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0" tint="-4.9989318521683403E-2"/>
        </patternFill>
      </fill>
    </dxf>
    <dxf>
      <fill>
        <patternFill patternType="solid">
          <bgColor theme="0" tint="-4.9989318521683403E-2"/>
        </patternFill>
      </fill>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4.9989318521683403E-2"/>
        </patternFill>
      </fill>
    </dxf>
    <dxf>
      <fill>
        <patternFill patternType="solid">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4.9989318521683403E-2"/>
        </patternFill>
      </fill>
    </dxf>
    <dxf>
      <fill>
        <patternFill patternType="solid">
          <bgColor theme="0" tint="-4.9989318521683403E-2"/>
        </patternFill>
      </fill>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0" tint="-4.9989318521683403E-2"/>
        </patternFill>
      </fill>
    </dxf>
    <dxf>
      <fill>
        <patternFill patternType="solid">
          <bgColor theme="0" tint="-4.9989318521683403E-2"/>
        </patternFill>
      </fill>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4.9989318521683403E-2"/>
        </patternFill>
      </fill>
    </dxf>
    <dxf>
      <fill>
        <patternFill patternType="solid">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4.9989318521683403E-2"/>
        </patternFill>
      </fill>
    </dxf>
    <dxf>
      <fill>
        <patternFill patternType="solid">
          <bgColor theme="0" tint="-4.9989318521683403E-2"/>
        </patternFill>
      </fill>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0" tint="-4.9989318521683403E-2"/>
        </patternFill>
      </fill>
    </dxf>
    <dxf>
      <fill>
        <patternFill patternType="solid">
          <bgColor theme="0" tint="-4.9989318521683403E-2"/>
        </patternFill>
      </fill>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4.9989318521683403E-2"/>
        </patternFill>
      </fill>
    </dxf>
    <dxf>
      <fill>
        <patternFill patternType="solid">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4.9989318521683403E-2"/>
        </patternFill>
      </fill>
    </dxf>
    <dxf>
      <fill>
        <patternFill patternType="solid">
          <bgColor theme="0" tint="-4.9989318521683403E-2"/>
        </patternFill>
      </fill>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0" tint="-4.9989318521683403E-2"/>
        </patternFill>
      </fill>
    </dxf>
    <dxf>
      <fill>
        <patternFill patternType="solid">
          <bgColor theme="0" tint="-4.9989318521683403E-2"/>
        </patternFill>
      </fill>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0" tint="-4.9989318521683403E-2"/>
        </patternFill>
      </fill>
    </dxf>
    <dxf>
      <fill>
        <patternFill patternType="solid">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ill>
        <patternFill patternType="solid">
          <bgColor theme="0" tint="-4.9989318521683403E-2"/>
        </patternFill>
      </fill>
    </dxf>
    <dxf>
      <fill>
        <patternFill patternType="solid">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i val="0"/>
        <strike val="0"/>
        <condense val="0"/>
        <extend val="0"/>
        <outline val="0"/>
        <shadow val="0"/>
        <u val="none"/>
        <vertAlign val="baseline"/>
        <sz val="11"/>
        <color theme="1"/>
        <name val="Calibri"/>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2" formatCode="0.00"/>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164"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numFmt numFmtId="164"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(Excel).xlsx]Visualization!PivotTable7</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Most Product Sold</a:t>
            </a:r>
          </a:p>
        </c:rich>
      </c:tx>
      <c:layout>
        <c:manualLayout>
          <c:xMode val="edge"/>
          <c:yMode val="edge"/>
          <c:x val="0.34879155730533684"/>
          <c:y val="4.5275590551181105E-2"/>
        </c:manualLayout>
      </c:layout>
      <c:overlay val="0"/>
      <c:spPr>
        <a:solidFill>
          <a:schemeClr val="bg1">
            <a:lumMod val="95000"/>
          </a:schemeClr>
        </a:solid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w="0">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w="0">
            <a:solidFill>
              <a:schemeClr val="bg2">
                <a:lumMod val="10000"/>
              </a:schemeClr>
            </a:solidFill>
          </a:ln>
          <a:effectLst/>
        </c:spPr>
      </c:pivotFmt>
    </c:pivotFmts>
    <c:plotArea>
      <c:layout/>
      <c:barChart>
        <c:barDir val="col"/>
        <c:grouping val="clustered"/>
        <c:varyColors val="0"/>
        <c:ser>
          <c:idx val="0"/>
          <c:order val="0"/>
          <c:tx>
            <c:strRef>
              <c:f>Visualization!$C$4</c:f>
              <c:strCache>
                <c:ptCount val="1"/>
                <c:pt idx="0">
                  <c:v>Total</c:v>
                </c:pt>
              </c:strCache>
            </c:strRef>
          </c:tx>
          <c:spPr>
            <a:solidFill>
              <a:schemeClr val="tx2"/>
            </a:solidFill>
            <a:ln w="0">
              <a:solidFill>
                <a:schemeClr val="bg2">
                  <a:lumMod val="1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Visualization!$B$5:$B$15</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Visualization!$C$5:$C$15</c:f>
              <c:numCache>
                <c:formatCode>0</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4B6B-4990-8ED3-2B434A858293}"/>
            </c:ext>
          </c:extLst>
        </c:ser>
        <c:dLbls>
          <c:dLblPos val="outEnd"/>
          <c:showLegendKey val="0"/>
          <c:showVal val="1"/>
          <c:showCatName val="0"/>
          <c:showSerName val="0"/>
          <c:showPercent val="0"/>
          <c:showBubbleSize val="0"/>
        </c:dLbls>
        <c:gapWidth val="176"/>
        <c:overlap val="60"/>
        <c:axId val="448148384"/>
        <c:axId val="448152704"/>
      </c:barChart>
      <c:catAx>
        <c:axId val="448148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latin typeface="Arial Black" panose="020B0A04020102020204" pitchFamily="34" charset="0"/>
                  </a:rPr>
                  <a:t>Products</a:t>
                </a:r>
              </a:p>
            </c:rich>
          </c:tx>
          <c:layout>
            <c:manualLayout>
              <c:xMode val="edge"/>
              <c:yMode val="edge"/>
              <c:x val="0.42472790901137358"/>
              <c:y val="0.8616688538932633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Arial Black" panose="020B0A04020102020204" pitchFamily="34" charset="0"/>
                <a:ea typeface="+mn-ea"/>
                <a:cs typeface="+mn-cs"/>
              </a:defRPr>
            </a:pPr>
            <a:endParaRPr lang="en-US"/>
          </a:p>
        </c:txPr>
        <c:crossAx val="448152704"/>
        <c:crosses val="autoZero"/>
        <c:auto val="1"/>
        <c:lblAlgn val="ctr"/>
        <c:lblOffset val="100"/>
        <c:noMultiLvlLbl val="0"/>
      </c:catAx>
      <c:valAx>
        <c:axId val="448152704"/>
        <c:scaling>
          <c:orientation val="minMax"/>
        </c:scaling>
        <c:delete val="1"/>
        <c:axPos val="l"/>
        <c:numFmt formatCode="0" sourceLinked="1"/>
        <c:majorTickMark val="out"/>
        <c:minorTickMark val="none"/>
        <c:tickLblPos val="nextTo"/>
        <c:crossAx val="44814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(Excel).xlsx]Visualization!PivotTable8</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Arial Black" panose="020B0A04020102020204" pitchFamily="34" charset="0"/>
              </a:rPr>
              <a:t>Total Revenue Per Category</a:t>
            </a:r>
          </a:p>
        </c:rich>
      </c:tx>
      <c:layout>
        <c:manualLayout>
          <c:xMode val="edge"/>
          <c:yMode val="edge"/>
          <c:x val="0.24338888888888893"/>
          <c:y val="3.084714103988535E-2"/>
        </c:manualLayout>
      </c:layout>
      <c:overlay val="0"/>
      <c:spPr>
        <a:solidFill>
          <a:schemeClr val="bg1">
            <a:lumMod val="95000"/>
          </a:schemeClr>
        </a:solidFill>
        <a:ln>
          <a:noFill/>
        </a:ln>
        <a:effectLst/>
      </c:spPr>
    </c:title>
    <c:autoTitleDeleted val="0"/>
    <c:pivotFmts>
      <c:pivotFmt>
        <c:idx val="0"/>
        <c:spPr>
          <a:ln w="3175">
            <a:solidFill>
              <a:schemeClr val="tx1">
                <a:lumMod val="95000"/>
                <a:lumOff val="5000"/>
              </a:schemeClr>
            </a:solidFill>
          </a:ln>
        </c:spPr>
        <c:marker>
          <c:symbol val="none"/>
        </c:marker>
        <c:dLbl>
          <c:idx val="0"/>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1">
              <a:lumMod val="50000"/>
            </a:schemeClr>
          </a:solidFill>
          <a:ln w="3175">
            <a:solidFill>
              <a:schemeClr val="tx1">
                <a:lumMod val="95000"/>
                <a:lumOff val="5000"/>
              </a:schemeClr>
            </a:solidFill>
          </a:ln>
          <a:effectLst/>
        </c:spPr>
        <c:dLbl>
          <c:idx val="0"/>
          <c:layout>
            <c:manualLayout>
              <c:x val="1.9444444444444445E-2"/>
              <c:y val="-3.6809815950920248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1">
              <a:lumMod val="60000"/>
              <a:lumOff val="40000"/>
            </a:schemeClr>
          </a:solidFill>
          <a:ln w="3175">
            <a:solidFill>
              <a:schemeClr val="tx1">
                <a:lumMod val="95000"/>
                <a:lumOff val="5000"/>
              </a:schemeClr>
            </a:solidFill>
          </a:ln>
          <a:effectLst/>
        </c:spPr>
        <c:dLbl>
          <c:idx val="0"/>
          <c:layout>
            <c:manualLayout>
              <c:x val="-1.6666666666666642E-2"/>
              <c:y val="4.9079754601226995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1">
              <a:lumMod val="20000"/>
              <a:lumOff val="80000"/>
            </a:schemeClr>
          </a:solidFill>
          <a:ln w="3175">
            <a:solidFill>
              <a:schemeClr val="tx1">
                <a:lumMod val="95000"/>
                <a:lumOff val="5000"/>
              </a:schemeClr>
            </a:solidFill>
          </a:ln>
          <a:effectLst/>
        </c:spPr>
        <c:dLbl>
          <c:idx val="0"/>
          <c:layout>
            <c:manualLayout>
              <c:x val="0.05"/>
              <c:y val="1.6359918200408979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30207305336832901"/>
          <c:y val="0.25234980596750556"/>
          <c:w val="0.44666797900262462"/>
          <c:h val="0.65767064393024488"/>
        </c:manualLayout>
      </c:layout>
      <c:pieChart>
        <c:varyColors val="1"/>
        <c:ser>
          <c:idx val="0"/>
          <c:order val="0"/>
          <c:tx>
            <c:strRef>
              <c:f>Visualization!$C$26</c:f>
              <c:strCache>
                <c:ptCount val="1"/>
                <c:pt idx="0">
                  <c:v>Total</c:v>
                </c:pt>
              </c:strCache>
            </c:strRef>
          </c:tx>
          <c:spPr>
            <a:ln w="3175">
              <a:solidFill>
                <a:schemeClr val="tx1">
                  <a:lumMod val="95000"/>
                  <a:lumOff val="5000"/>
                </a:schemeClr>
              </a:solidFill>
            </a:ln>
          </c:spPr>
          <c:dPt>
            <c:idx val="0"/>
            <c:bubble3D val="0"/>
            <c:spPr>
              <a:solidFill>
                <a:schemeClr val="accent1">
                  <a:lumMod val="20000"/>
                  <a:lumOff val="80000"/>
                </a:schemeClr>
              </a:solidFill>
              <a:ln w="3175">
                <a:solidFill>
                  <a:schemeClr val="tx1">
                    <a:lumMod val="95000"/>
                    <a:lumOff val="5000"/>
                  </a:schemeClr>
                </a:solidFill>
              </a:ln>
              <a:effectLst/>
            </c:spPr>
            <c:extLst>
              <c:ext xmlns:c16="http://schemas.microsoft.com/office/drawing/2014/chart" uri="{C3380CC4-5D6E-409C-BE32-E72D297353CC}">
                <c16:uniqueId val="{00000004-E1AE-45EE-B8FA-21FDEC879931}"/>
              </c:ext>
            </c:extLst>
          </c:dPt>
          <c:dPt>
            <c:idx val="1"/>
            <c:bubble3D val="0"/>
            <c:spPr>
              <a:solidFill>
                <a:schemeClr val="accent1">
                  <a:lumMod val="50000"/>
                </a:schemeClr>
              </a:solidFill>
              <a:ln w="3175">
                <a:solidFill>
                  <a:schemeClr val="tx1">
                    <a:lumMod val="95000"/>
                    <a:lumOff val="5000"/>
                  </a:schemeClr>
                </a:solidFill>
              </a:ln>
              <a:effectLst/>
            </c:spPr>
            <c:extLst>
              <c:ext xmlns:c16="http://schemas.microsoft.com/office/drawing/2014/chart" uri="{C3380CC4-5D6E-409C-BE32-E72D297353CC}">
                <c16:uniqueId val="{00000002-E1AE-45EE-B8FA-21FDEC879931}"/>
              </c:ext>
            </c:extLst>
          </c:dPt>
          <c:dPt>
            <c:idx val="2"/>
            <c:bubble3D val="0"/>
            <c:spPr>
              <a:solidFill>
                <a:schemeClr val="accent1">
                  <a:lumMod val="60000"/>
                  <a:lumOff val="40000"/>
                </a:schemeClr>
              </a:solidFill>
              <a:ln w="3175">
                <a:solidFill>
                  <a:schemeClr val="tx1">
                    <a:lumMod val="95000"/>
                    <a:lumOff val="5000"/>
                  </a:schemeClr>
                </a:solidFill>
              </a:ln>
              <a:effectLst/>
            </c:spPr>
            <c:extLst>
              <c:ext xmlns:c16="http://schemas.microsoft.com/office/drawing/2014/chart" uri="{C3380CC4-5D6E-409C-BE32-E72D297353CC}">
                <c16:uniqueId val="{00000003-E1AE-45EE-B8FA-21FDEC879931}"/>
              </c:ext>
            </c:extLst>
          </c:dPt>
          <c:dLbls>
            <c:dLbl>
              <c:idx val="0"/>
              <c:layout>
                <c:manualLayout>
                  <c:x val="0.05"/>
                  <c:y val="1.635991820040897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1AE-45EE-B8FA-21FDEC879931}"/>
                </c:ext>
              </c:extLst>
            </c:dLbl>
            <c:dLbl>
              <c:idx val="1"/>
              <c:layout>
                <c:manualLayout>
                  <c:x val="1.9444444444444445E-2"/>
                  <c:y val="-3.680981595092024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1AE-45EE-B8FA-21FDEC879931}"/>
                </c:ext>
              </c:extLst>
            </c:dLbl>
            <c:dLbl>
              <c:idx val="2"/>
              <c:layout>
                <c:manualLayout>
                  <c:x val="-1.6666666666666642E-2"/>
                  <c:y val="4.907975460122699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1AE-45EE-B8FA-21FDEC879931}"/>
                </c:ext>
              </c:extLst>
            </c:dLbl>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Visualization!$B$27:$B$30</c:f>
              <c:strCache>
                <c:ptCount val="3"/>
                <c:pt idx="0">
                  <c:v>Appliances</c:v>
                </c:pt>
                <c:pt idx="1">
                  <c:v>Electronics</c:v>
                </c:pt>
                <c:pt idx="2">
                  <c:v>Furniture</c:v>
                </c:pt>
              </c:strCache>
            </c:strRef>
          </c:cat>
          <c:val>
            <c:numRef>
              <c:f>Visualization!$C$27:$C$30</c:f>
              <c:numCache>
                <c:formatCode>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E1AE-45EE-B8FA-21FDEC879931}"/>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(Excel).xlsx]Visualization!PivotTable11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rial Black" panose="020B0A04020102020204" pitchFamily="34" charset="0"/>
              </a:rPr>
              <a:t>Monthly Revenue Trend</a:t>
            </a:r>
          </a:p>
        </c:rich>
      </c:tx>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lumMod val="50000"/>
                <a:alpha val="92000"/>
              </a:schemeClr>
            </a:solidFill>
            <a:round/>
          </a:ln>
          <a:effectLst/>
        </c:spPr>
        <c:marker>
          <c:symbol val="circle"/>
          <c:size val="5"/>
        </c:marker>
        <c:dLbl>
          <c:idx val="0"/>
          <c:layout>
            <c:manualLayout>
              <c:x val="-5.9452464275298921E-3"/>
              <c:y val="-4.36680547725991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lumMod val="50000"/>
                <a:alpha val="92000"/>
              </a:schemeClr>
            </a:solidFill>
            <a:round/>
          </a:ln>
          <a:effectLst/>
        </c:spPr>
        <c:marker>
          <c:symbol val="circle"/>
          <c:size val="5"/>
        </c:marker>
        <c:dLbl>
          <c:idx val="0"/>
          <c:layout>
            <c:manualLayout>
              <c:x val="-4.4016294838145231E-2"/>
              <c:y val="6.02580422250913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lumMod val="50000"/>
                <a:alpha val="92000"/>
              </a:schemeClr>
            </a:solidFill>
            <a:round/>
          </a:ln>
          <a:effectLst/>
        </c:spPr>
        <c:marker>
          <c:symbol val="circle"/>
          <c:size val="5"/>
        </c:marker>
        <c:dLbl>
          <c:idx val="0"/>
          <c:layout>
            <c:manualLayout>
              <c:x val="-4.4016294838145315E-2"/>
              <c:y val="4.10124687070005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lumMod val="50000"/>
                <a:alpha val="92000"/>
              </a:schemeClr>
            </a:solidFill>
            <a:round/>
          </a:ln>
          <a:effectLst/>
        </c:spPr>
        <c:marker>
          <c:symbol val="circle"/>
          <c:size val="5"/>
        </c:marker>
        <c:dLbl>
          <c:idx val="0"/>
          <c:layout>
            <c:manualLayout>
              <c:x val="-4.6331109652960049E-2"/>
              <c:y val="-3.2120710661744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lumMod val="50000"/>
                <a:alpha val="92000"/>
              </a:schemeClr>
            </a:solidFill>
            <a:round/>
          </a:ln>
          <a:effectLst/>
        </c:spPr>
        <c:marker>
          <c:symbol val="circle"/>
          <c:size val="5"/>
        </c:marker>
        <c:dLbl>
          <c:idx val="0"/>
          <c:layout>
            <c:manualLayout>
              <c:x val="-2.7812591134441612E-2"/>
              <c:y val="-3.5969825365362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lumMod val="50000"/>
                <a:alpha val="92000"/>
              </a:schemeClr>
            </a:solidFill>
            <a:round/>
          </a:ln>
          <a:effectLst/>
        </c:spPr>
        <c:marker>
          <c:symbol val="circle"/>
          <c:size val="5"/>
        </c:marker>
        <c:dLbl>
          <c:idx val="0"/>
          <c:layout>
            <c:manualLayout>
              <c:x val="-1.3923702245552682E-2"/>
              <c:y val="1.79177804852915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lumMod val="50000"/>
                <a:alpha val="92000"/>
              </a:schemeClr>
            </a:solidFill>
            <a:round/>
          </a:ln>
          <a:effectLst/>
        </c:spPr>
        <c:marker>
          <c:symbol val="circle"/>
          <c:size val="5"/>
        </c:marker>
        <c:dLbl>
          <c:idx val="0"/>
          <c:layout>
            <c:manualLayout>
              <c:x val="-6.9479257801108196E-2"/>
              <c:y val="4.48615834106187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lumMod val="50000"/>
                <a:alpha val="92000"/>
              </a:schemeClr>
            </a:solidFill>
            <a:round/>
          </a:ln>
          <a:effectLst/>
        </c:spPr>
        <c:marker>
          <c:symbol val="circle"/>
          <c:size val="5"/>
        </c:marker>
        <c:dLbl>
          <c:idx val="0"/>
          <c:layout>
            <c:manualLayout>
              <c:x val="-7.1794072615923007E-2"/>
              <c:y val="3.71633540033823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lumMod val="50000"/>
                <a:alpha val="92000"/>
              </a:schemeClr>
            </a:solidFill>
            <a:round/>
          </a:ln>
          <a:effectLst/>
        </c:spPr>
        <c:marker>
          <c:symbol val="circle"/>
          <c:size val="5"/>
        </c:marker>
        <c:dLbl>
          <c:idx val="0"/>
          <c:layout>
            <c:manualLayout>
              <c:x val="-7.8738517060367455E-2"/>
              <c:y val="-2.44224812545083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1750" cap="rnd">
            <a:solidFill>
              <a:schemeClr val="accent1">
                <a:lumMod val="50000"/>
                <a:alpha val="92000"/>
              </a:schemeClr>
            </a:solidFill>
            <a:round/>
          </a:ln>
          <a:effectLst/>
        </c:spPr>
        <c:marker>
          <c:symbol val="circle"/>
          <c:size val="5"/>
        </c:marker>
        <c:dLbl>
          <c:idx val="0"/>
          <c:layout>
            <c:manualLayout>
              <c:x val="-6.9479257801108196E-2"/>
              <c:y val="-2.82715959581264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lumMod val="50000"/>
                <a:alpha val="92000"/>
              </a:schemeClr>
            </a:solidFill>
            <a:round/>
          </a:ln>
          <a:effectLst/>
        </c:spPr>
        <c:marker>
          <c:symbol val="circle"/>
          <c:size val="5"/>
        </c:marker>
        <c:dLbl>
          <c:idx val="0"/>
          <c:layout>
            <c:manualLayout>
              <c:x val="-5.0960739282589679E-2"/>
              <c:y val="-3.21207106617446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1750" cap="rnd">
            <a:solidFill>
              <a:schemeClr val="accent1">
                <a:lumMod val="50000"/>
                <a:alpha val="92000"/>
              </a:schemeClr>
            </a:solidFill>
            <a:round/>
          </a:ln>
          <a:effectLst/>
        </c:spPr>
        <c:marker>
          <c:symbol val="circle"/>
          <c:size val="5"/>
        </c:marker>
        <c:dLbl>
          <c:idx val="0"/>
          <c:layout>
            <c:manualLayout>
              <c:x val="-6.2534813356663749E-2"/>
              <c:y val="-3.2120710661744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Visualization!$C$48</c:f>
              <c:strCache>
                <c:ptCount val="1"/>
                <c:pt idx="0">
                  <c:v>Total</c:v>
                </c:pt>
              </c:strCache>
            </c:strRef>
          </c:tx>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Pt>
            <c:idx val="0"/>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C-BFB4-4D63-AA60-F4D6305EA936}"/>
              </c:ext>
            </c:extLst>
          </c:dPt>
          <c:dPt>
            <c:idx val="1"/>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2-BFB4-4D63-AA60-F4D6305EA936}"/>
              </c:ext>
            </c:extLst>
          </c:dPt>
          <c:dPt>
            <c:idx val="2"/>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8-BFB4-4D63-AA60-F4D6305EA936}"/>
              </c:ext>
            </c:extLst>
          </c:dPt>
          <c:dPt>
            <c:idx val="3"/>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B-BFB4-4D63-AA60-F4D6305EA936}"/>
              </c:ext>
            </c:extLst>
          </c:dPt>
          <c:dPt>
            <c:idx val="4"/>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9-BFB4-4D63-AA60-F4D6305EA936}"/>
              </c:ext>
            </c:extLst>
          </c:dPt>
          <c:dPt>
            <c:idx val="5"/>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A-BFB4-4D63-AA60-F4D6305EA936}"/>
              </c:ext>
            </c:extLst>
          </c:dPt>
          <c:dPt>
            <c:idx val="6"/>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7-BFB4-4D63-AA60-F4D6305EA936}"/>
              </c:ext>
            </c:extLst>
          </c:dPt>
          <c:dPt>
            <c:idx val="7"/>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6-BFB4-4D63-AA60-F4D6305EA936}"/>
              </c:ext>
            </c:extLst>
          </c:dPt>
          <c:dPt>
            <c:idx val="8"/>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5-BFB4-4D63-AA60-F4D6305EA936}"/>
              </c:ext>
            </c:extLst>
          </c:dPt>
          <c:dPt>
            <c:idx val="9"/>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D-BFB4-4D63-AA60-F4D6305EA936}"/>
              </c:ext>
            </c:extLst>
          </c:dPt>
          <c:dPt>
            <c:idx val="10"/>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4-BFB4-4D63-AA60-F4D6305EA936}"/>
              </c:ext>
            </c:extLst>
          </c:dPt>
          <c:dPt>
            <c:idx val="11"/>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3-BFB4-4D63-AA60-F4D6305EA936}"/>
              </c:ext>
            </c:extLst>
          </c:dPt>
          <c:dLbls>
            <c:dLbl>
              <c:idx val="0"/>
              <c:layout>
                <c:manualLayout>
                  <c:x val="-5.0960739282589679E-2"/>
                  <c:y val="-3.21207106617446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FB4-4D63-AA60-F4D6305EA936}"/>
                </c:ext>
              </c:extLst>
            </c:dLbl>
            <c:dLbl>
              <c:idx val="1"/>
              <c:layout>
                <c:manualLayout>
                  <c:x val="-7.1794072615923007E-2"/>
                  <c:y val="3.71633540033823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B4-4D63-AA60-F4D6305EA936}"/>
                </c:ext>
              </c:extLst>
            </c:dLbl>
            <c:dLbl>
              <c:idx val="2"/>
              <c:layout>
                <c:manualLayout>
                  <c:x val="-1.3923702245552682E-2"/>
                  <c:y val="1.7917780485291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FB4-4D63-AA60-F4D6305EA936}"/>
                </c:ext>
              </c:extLst>
            </c:dLbl>
            <c:dLbl>
              <c:idx val="3"/>
              <c:layout>
                <c:manualLayout>
                  <c:x val="-6.9479257801108196E-2"/>
                  <c:y val="-2.82715959581264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FB4-4D63-AA60-F4D6305EA936}"/>
                </c:ext>
              </c:extLst>
            </c:dLbl>
            <c:dLbl>
              <c:idx val="4"/>
              <c:layout>
                <c:manualLayout>
                  <c:x val="-6.9479257801108196E-2"/>
                  <c:y val="4.48615834106187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FB4-4D63-AA60-F4D6305EA936}"/>
                </c:ext>
              </c:extLst>
            </c:dLbl>
            <c:dLbl>
              <c:idx val="5"/>
              <c:layout>
                <c:manualLayout>
                  <c:x val="-7.8738517060367455E-2"/>
                  <c:y val="-2.44224812545083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FB4-4D63-AA60-F4D6305EA936}"/>
                </c:ext>
              </c:extLst>
            </c:dLbl>
            <c:dLbl>
              <c:idx val="6"/>
              <c:layout>
                <c:manualLayout>
                  <c:x val="-2.7812591134441612E-2"/>
                  <c:y val="-3.5969825365362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FB4-4D63-AA60-F4D6305EA936}"/>
                </c:ext>
              </c:extLst>
            </c:dLbl>
            <c:dLbl>
              <c:idx val="7"/>
              <c:layout>
                <c:manualLayout>
                  <c:x val="-4.6331109652960049E-2"/>
                  <c:y val="-3.21207106617446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FB4-4D63-AA60-F4D6305EA936}"/>
                </c:ext>
              </c:extLst>
            </c:dLbl>
            <c:dLbl>
              <c:idx val="8"/>
              <c:layout>
                <c:manualLayout>
                  <c:x val="-4.4016294838145315E-2"/>
                  <c:y val="4.10124687070005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FB4-4D63-AA60-F4D6305EA936}"/>
                </c:ext>
              </c:extLst>
            </c:dLbl>
            <c:dLbl>
              <c:idx val="9"/>
              <c:layout>
                <c:manualLayout>
                  <c:x val="-6.2534813356663749E-2"/>
                  <c:y val="-3.21207106617446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FB4-4D63-AA60-F4D6305EA936}"/>
                </c:ext>
              </c:extLst>
            </c:dLbl>
            <c:dLbl>
              <c:idx val="10"/>
              <c:layout>
                <c:manualLayout>
                  <c:x val="-4.4016294838145231E-2"/>
                  <c:y val="6.02580422250913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B4-4D63-AA60-F4D6305EA936}"/>
                </c:ext>
              </c:extLst>
            </c:dLbl>
            <c:dLbl>
              <c:idx val="11"/>
              <c:layout>
                <c:manualLayout>
                  <c:x val="-5.9452464275298921E-3"/>
                  <c:y val="-4.36680547725991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B4-4D63-AA60-F4D6305EA93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Visualization!$B$49:$B$61</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Visualization!$C$49:$C$61</c:f>
              <c:numCache>
                <c:formatCode>0.00</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BFB4-4D63-AA60-F4D6305EA936}"/>
            </c:ext>
          </c:extLst>
        </c:ser>
        <c:dLbls>
          <c:dLblPos val="t"/>
          <c:showLegendKey val="0"/>
          <c:showVal val="1"/>
          <c:showCatName val="0"/>
          <c:showSerName val="0"/>
          <c:showPercent val="0"/>
          <c:showBubbleSize val="0"/>
        </c:dLbls>
        <c:marker val="1"/>
        <c:smooth val="0"/>
        <c:axId val="816232864"/>
        <c:axId val="816235744"/>
      </c:lineChart>
      <c:catAx>
        <c:axId val="816232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chemeClr val="tx1"/>
                    </a:solidFill>
                    <a:latin typeface="Arial Black" panose="020B0A04020102020204" pitchFamily="34" charset="0"/>
                  </a:rPr>
                  <a:t>Months</a:t>
                </a:r>
              </a:p>
            </c:rich>
          </c:tx>
          <c:layout>
            <c:manualLayout>
              <c:xMode val="edge"/>
              <c:yMode val="edge"/>
              <c:x val="0.43898789688906442"/>
              <c:y val="0.908384208384208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Black" panose="020B0A04020102020204" pitchFamily="34" charset="0"/>
                <a:ea typeface="+mn-ea"/>
                <a:cs typeface="+mn-cs"/>
              </a:defRPr>
            </a:pPr>
            <a:endParaRPr lang="en-US"/>
          </a:p>
        </c:txPr>
        <c:crossAx val="816235744"/>
        <c:crosses val="autoZero"/>
        <c:auto val="1"/>
        <c:lblAlgn val="ctr"/>
        <c:lblOffset val="100"/>
        <c:noMultiLvlLbl val="0"/>
      </c:catAx>
      <c:valAx>
        <c:axId val="816235744"/>
        <c:scaling>
          <c:orientation val="minMax"/>
        </c:scaling>
        <c:delete val="1"/>
        <c:axPos val="l"/>
        <c:numFmt formatCode="0.00" sourceLinked="1"/>
        <c:majorTickMark val="none"/>
        <c:minorTickMark val="none"/>
        <c:tickLblPos val="nextTo"/>
        <c:crossAx val="816232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(Excel).xlsx]Visualization!PivotTable7</c:name>
    <c:fmtId val="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Most Product Sold</a:t>
            </a:r>
          </a:p>
        </c:rich>
      </c:tx>
      <c:layout>
        <c:manualLayout>
          <c:xMode val="edge"/>
          <c:yMode val="edge"/>
          <c:x val="0.34879155730533684"/>
          <c:y val="4.5275590551181105E-2"/>
        </c:manualLayout>
      </c:layout>
      <c:overlay val="0"/>
      <c:spPr>
        <a:solidFill>
          <a:schemeClr val="bg1">
            <a:lumMod val="95000"/>
          </a:schemeClr>
        </a:solid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w="0">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w="0">
            <a:solidFill>
              <a:schemeClr val="bg2">
                <a:lumMod val="10000"/>
              </a:schemeClr>
            </a:solidFill>
          </a:ln>
          <a:effectLst/>
        </c:spPr>
      </c:pivotFmt>
      <c:pivotFmt>
        <c:idx val="2"/>
        <c:spPr>
          <a:solidFill>
            <a:schemeClr val="tx2"/>
          </a:solidFill>
          <a:ln w="0">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w="0">
            <a:solidFill>
              <a:schemeClr val="bg2">
                <a:lumMod val="1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Visualization!$C$4</c:f>
              <c:strCache>
                <c:ptCount val="1"/>
                <c:pt idx="0">
                  <c:v>Total</c:v>
                </c:pt>
              </c:strCache>
            </c:strRef>
          </c:tx>
          <c:spPr>
            <a:solidFill>
              <a:schemeClr val="tx2"/>
            </a:solidFill>
            <a:ln w="0">
              <a:solidFill>
                <a:schemeClr val="bg2">
                  <a:lumMod val="1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Visualization!$B$5:$B$15</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Visualization!$C$5:$C$15</c:f>
              <c:numCache>
                <c:formatCode>0</c:formatCode>
                <c:ptCount val="10"/>
                <c:pt idx="0">
                  <c:v>87</c:v>
                </c:pt>
                <c:pt idx="1">
                  <c:v>102</c:v>
                </c:pt>
                <c:pt idx="2">
                  <c:v>39</c:v>
                </c:pt>
                <c:pt idx="3">
                  <c:v>78</c:v>
                </c:pt>
                <c:pt idx="4">
                  <c:v>47</c:v>
                </c:pt>
                <c:pt idx="5">
                  <c:v>89</c:v>
                </c:pt>
                <c:pt idx="6">
                  <c:v>75</c:v>
                </c:pt>
                <c:pt idx="7">
                  <c:v>88</c:v>
                </c:pt>
                <c:pt idx="8">
                  <c:v>52</c:v>
                </c:pt>
                <c:pt idx="9">
                  <c:v>96</c:v>
                </c:pt>
              </c:numCache>
            </c:numRef>
          </c:val>
          <c:extLst>
            <c:ext xmlns:c16="http://schemas.microsoft.com/office/drawing/2014/chart" uri="{C3380CC4-5D6E-409C-BE32-E72D297353CC}">
              <c16:uniqueId val="{00000000-115F-4367-8538-305409F6F5AA}"/>
            </c:ext>
          </c:extLst>
        </c:ser>
        <c:dLbls>
          <c:dLblPos val="outEnd"/>
          <c:showLegendKey val="0"/>
          <c:showVal val="1"/>
          <c:showCatName val="0"/>
          <c:showSerName val="0"/>
          <c:showPercent val="0"/>
          <c:showBubbleSize val="0"/>
        </c:dLbls>
        <c:gapWidth val="176"/>
        <c:overlap val="60"/>
        <c:axId val="448148384"/>
        <c:axId val="448152704"/>
      </c:barChart>
      <c:catAx>
        <c:axId val="448148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latin typeface="Arial Black" panose="020B0A04020102020204" pitchFamily="34" charset="0"/>
                  </a:rPr>
                  <a:t>Products</a:t>
                </a:r>
              </a:p>
            </c:rich>
          </c:tx>
          <c:layout>
            <c:manualLayout>
              <c:xMode val="edge"/>
              <c:yMode val="edge"/>
              <c:x val="0.42472790901137358"/>
              <c:y val="0.8616688538932633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Arial Black" panose="020B0A04020102020204" pitchFamily="34" charset="0"/>
                <a:ea typeface="+mn-ea"/>
                <a:cs typeface="+mn-cs"/>
              </a:defRPr>
            </a:pPr>
            <a:endParaRPr lang="en-US"/>
          </a:p>
        </c:txPr>
        <c:crossAx val="448152704"/>
        <c:crosses val="autoZero"/>
        <c:auto val="1"/>
        <c:lblAlgn val="ctr"/>
        <c:lblOffset val="100"/>
        <c:noMultiLvlLbl val="0"/>
      </c:catAx>
      <c:valAx>
        <c:axId val="448152704"/>
        <c:scaling>
          <c:orientation val="minMax"/>
        </c:scaling>
        <c:delete val="1"/>
        <c:axPos val="l"/>
        <c:majorGridlines>
          <c:spPr>
            <a:ln w="9525" cap="flat" cmpd="sng" algn="ctr">
              <a:noFill/>
              <a:round/>
            </a:ln>
            <a:effectLst/>
          </c:spPr>
        </c:majorGridlines>
        <c:numFmt formatCode="0" sourceLinked="1"/>
        <c:majorTickMark val="out"/>
        <c:minorTickMark val="none"/>
        <c:tickLblPos val="nextTo"/>
        <c:crossAx val="44814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10000"/>
        <a:lumOff val="90000"/>
      </a:schemeClr>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(Excel).xlsx]Visualization!PivotTable8</c:name>
    <c:fmtId val="7"/>
  </c:pivotSource>
  <c:chart>
    <c:title>
      <c:tx>
        <c:rich>
          <a:bodyPr rot="0" vert="horz"/>
          <a:lstStyle/>
          <a:p>
            <a:pPr algn="ctr">
              <a:defRPr/>
            </a:pPr>
            <a:r>
              <a:rPr lang="en-US"/>
              <a:t>Total Revenue Per Category</a:t>
            </a:r>
          </a:p>
        </c:rich>
      </c:tx>
      <c:layout>
        <c:manualLayout>
          <c:xMode val="edge"/>
          <c:yMode val="edge"/>
          <c:x val="0.24338888888888893"/>
          <c:y val="3.084714103988535E-2"/>
        </c:manualLayout>
      </c:layout>
      <c:overlay val="0"/>
      <c:spPr>
        <a:solidFill>
          <a:schemeClr val="bg1">
            <a:lumMod val="95000"/>
          </a:schemeClr>
        </a:solidFill>
        <a:ln>
          <a:noFill/>
        </a:ln>
        <a:effectLst/>
      </c:spPr>
    </c:title>
    <c:autoTitleDeleted val="0"/>
    <c:pivotFmts>
      <c:pivotFmt>
        <c:idx val="0"/>
        <c:spPr>
          <a:ln w="3175">
            <a:solidFill>
              <a:schemeClr val="tx1">
                <a:lumMod val="95000"/>
                <a:lumOff val="5000"/>
              </a:schemeClr>
            </a:solidFill>
          </a:ln>
        </c:spPr>
        <c:marker>
          <c:symbol val="none"/>
        </c:marker>
        <c:dLbl>
          <c:idx val="0"/>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1">
              <a:lumMod val="50000"/>
            </a:schemeClr>
          </a:solidFill>
          <a:ln w="3175">
            <a:solidFill>
              <a:schemeClr val="tx1">
                <a:lumMod val="95000"/>
                <a:lumOff val="5000"/>
              </a:schemeClr>
            </a:solidFill>
          </a:ln>
          <a:effectLst/>
        </c:spPr>
        <c:dLbl>
          <c:idx val="0"/>
          <c:layout>
            <c:manualLayout>
              <c:x val="1.9444444444444445E-2"/>
              <c:y val="-3.6809815950920248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1">
              <a:lumMod val="60000"/>
              <a:lumOff val="40000"/>
            </a:schemeClr>
          </a:solidFill>
          <a:ln w="3175">
            <a:solidFill>
              <a:schemeClr val="tx1">
                <a:lumMod val="95000"/>
                <a:lumOff val="5000"/>
              </a:schemeClr>
            </a:solidFill>
          </a:ln>
          <a:effectLst/>
        </c:spPr>
        <c:dLbl>
          <c:idx val="0"/>
          <c:layout>
            <c:manualLayout>
              <c:x val="-1.6666666666666642E-2"/>
              <c:y val="4.9079754601226995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1">
              <a:lumMod val="20000"/>
              <a:lumOff val="80000"/>
            </a:schemeClr>
          </a:solidFill>
          <a:ln w="3175">
            <a:solidFill>
              <a:schemeClr val="tx1">
                <a:lumMod val="95000"/>
                <a:lumOff val="5000"/>
              </a:schemeClr>
            </a:solidFill>
          </a:ln>
          <a:effectLst/>
        </c:spPr>
        <c:dLbl>
          <c:idx val="0"/>
          <c:layout>
            <c:manualLayout>
              <c:x val="0.05"/>
              <c:y val="1.6359918200408979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ln w="3175">
            <a:solidFill>
              <a:schemeClr val="tx1">
                <a:lumMod val="95000"/>
                <a:lumOff val="5000"/>
              </a:schemeClr>
            </a:solidFill>
          </a:ln>
        </c:spPr>
        <c:marker>
          <c:symbol val="none"/>
        </c:marker>
        <c:dLbl>
          <c:idx val="0"/>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1">
              <a:lumMod val="20000"/>
              <a:lumOff val="80000"/>
            </a:schemeClr>
          </a:solidFill>
          <a:ln w="3175">
            <a:solidFill>
              <a:schemeClr val="tx1">
                <a:lumMod val="95000"/>
                <a:lumOff val="5000"/>
              </a:schemeClr>
            </a:solidFill>
          </a:ln>
          <a:effectLst/>
        </c:spPr>
        <c:dLbl>
          <c:idx val="0"/>
          <c:layout>
            <c:manualLayout>
              <c:x val="0.05"/>
              <c:y val="1.6359918200408979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1">
              <a:lumMod val="50000"/>
            </a:schemeClr>
          </a:solidFill>
          <a:ln w="3175">
            <a:solidFill>
              <a:schemeClr val="tx1">
                <a:lumMod val="95000"/>
                <a:lumOff val="5000"/>
              </a:schemeClr>
            </a:solidFill>
          </a:ln>
          <a:effectLst/>
        </c:spPr>
        <c:dLbl>
          <c:idx val="0"/>
          <c:layout>
            <c:manualLayout>
              <c:x val="1.9444444444444445E-2"/>
              <c:y val="-3.6809815950920248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1">
              <a:lumMod val="60000"/>
              <a:lumOff val="40000"/>
            </a:schemeClr>
          </a:solidFill>
          <a:ln w="3175">
            <a:solidFill>
              <a:schemeClr val="tx1">
                <a:lumMod val="95000"/>
                <a:lumOff val="5000"/>
              </a:schemeClr>
            </a:solidFill>
          </a:ln>
          <a:effectLst/>
        </c:spPr>
        <c:dLbl>
          <c:idx val="0"/>
          <c:layout>
            <c:manualLayout>
              <c:x val="-1.6666666666666642E-2"/>
              <c:y val="4.9079754601226995E-2"/>
            </c:manualLayout>
          </c:layout>
          <c:spPr>
            <a:noFill/>
            <a:ln>
              <a:noFill/>
            </a:ln>
            <a:effectLst/>
          </c:spPr>
          <c:txPr>
            <a:bodyPr rot="0" spcFirstLastPara="1" vertOverflow="ellipsis" vert="horz" wrap="square" lIns="72000" tIns="19050" rIns="360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ln w="3175">
            <a:solidFill>
              <a:schemeClr val="tx1">
                <a:lumMod val="95000"/>
                <a:lumOff val="5000"/>
              </a:schemeClr>
            </a:solidFill>
          </a:ln>
        </c:spPr>
        <c:marker>
          <c:symbol val="none"/>
        </c:marker>
        <c:dLbl>
          <c:idx val="0"/>
          <c:spPr>
            <a:noFill/>
            <a:ln>
              <a:noFill/>
            </a:ln>
            <a:effectLst/>
          </c:spPr>
          <c:txPr>
            <a:bodyPr rot="0" vert="horz"/>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1">
              <a:lumMod val="20000"/>
              <a:lumOff val="80000"/>
            </a:schemeClr>
          </a:solidFill>
          <a:ln w="3175">
            <a:solidFill>
              <a:schemeClr val="tx1">
                <a:lumMod val="95000"/>
                <a:lumOff val="5000"/>
              </a:schemeClr>
            </a:solidFill>
          </a:ln>
          <a:effectLst/>
        </c:spPr>
        <c:dLbl>
          <c:idx val="0"/>
          <c:layout>
            <c:manualLayout>
              <c:x val="0.05"/>
              <c:y val="1.6359918200408979E-2"/>
            </c:manualLayout>
          </c:layout>
          <c:spPr>
            <a:noFill/>
            <a:ln>
              <a:noFill/>
            </a:ln>
            <a:effectLst/>
          </c:spPr>
          <c:txPr>
            <a:bodyPr rot="0" vert="horz"/>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1">
              <a:lumMod val="50000"/>
            </a:schemeClr>
          </a:solidFill>
          <a:ln w="3175">
            <a:solidFill>
              <a:schemeClr val="tx1">
                <a:lumMod val="95000"/>
                <a:lumOff val="5000"/>
              </a:schemeClr>
            </a:solidFill>
          </a:ln>
          <a:effectLst/>
        </c:spPr>
        <c:dLbl>
          <c:idx val="0"/>
          <c:layout>
            <c:manualLayout>
              <c:x val="1.9444444444444445E-2"/>
              <c:y val="-3.6809815950920248E-2"/>
            </c:manualLayout>
          </c:layout>
          <c:spPr>
            <a:noFill/>
            <a:ln>
              <a:noFill/>
            </a:ln>
            <a:effectLst/>
          </c:spPr>
          <c:txPr>
            <a:bodyPr rot="0" vert="horz"/>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chemeClr val="accent1">
              <a:lumMod val="60000"/>
              <a:lumOff val="40000"/>
            </a:schemeClr>
          </a:solidFill>
          <a:ln w="3175">
            <a:solidFill>
              <a:schemeClr val="tx1">
                <a:lumMod val="95000"/>
                <a:lumOff val="5000"/>
              </a:schemeClr>
            </a:solidFill>
          </a:ln>
          <a:effectLst/>
        </c:spPr>
        <c:dLbl>
          <c:idx val="0"/>
          <c:layout>
            <c:manualLayout>
              <c:x val="-1.6666666666666642E-2"/>
              <c:y val="4.9079754601226995E-2"/>
            </c:manualLayout>
          </c:layout>
          <c:spPr>
            <a:noFill/>
            <a:ln>
              <a:noFill/>
            </a:ln>
            <a:effectLst/>
          </c:spPr>
          <c:txPr>
            <a:bodyPr rot="0" vert="horz"/>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30207305336832901"/>
          <c:y val="0.25234980596750556"/>
          <c:w val="0.44666797900262462"/>
          <c:h val="0.65767064393024488"/>
        </c:manualLayout>
      </c:layout>
      <c:pieChart>
        <c:varyColors val="1"/>
        <c:ser>
          <c:idx val="0"/>
          <c:order val="0"/>
          <c:tx>
            <c:strRef>
              <c:f>Visualization!$C$26</c:f>
              <c:strCache>
                <c:ptCount val="1"/>
                <c:pt idx="0">
                  <c:v>Total</c:v>
                </c:pt>
              </c:strCache>
            </c:strRef>
          </c:tx>
          <c:spPr>
            <a:ln w="3175">
              <a:solidFill>
                <a:schemeClr val="tx1">
                  <a:lumMod val="95000"/>
                  <a:lumOff val="5000"/>
                </a:schemeClr>
              </a:solidFill>
            </a:ln>
          </c:spPr>
          <c:dPt>
            <c:idx val="0"/>
            <c:bubble3D val="0"/>
            <c:spPr>
              <a:solidFill>
                <a:schemeClr val="accent1">
                  <a:lumMod val="20000"/>
                  <a:lumOff val="80000"/>
                </a:schemeClr>
              </a:solidFill>
              <a:ln w="3175">
                <a:solidFill>
                  <a:schemeClr val="tx1">
                    <a:lumMod val="95000"/>
                    <a:lumOff val="5000"/>
                  </a:schemeClr>
                </a:solidFill>
              </a:ln>
              <a:effectLst/>
            </c:spPr>
            <c:extLst>
              <c:ext xmlns:c16="http://schemas.microsoft.com/office/drawing/2014/chart" uri="{C3380CC4-5D6E-409C-BE32-E72D297353CC}">
                <c16:uniqueId val="{00000001-BF88-4701-80F7-1E14941F2B3D}"/>
              </c:ext>
            </c:extLst>
          </c:dPt>
          <c:dPt>
            <c:idx val="1"/>
            <c:bubble3D val="0"/>
            <c:spPr>
              <a:solidFill>
                <a:schemeClr val="accent1">
                  <a:lumMod val="50000"/>
                </a:schemeClr>
              </a:solidFill>
              <a:ln w="3175">
                <a:solidFill>
                  <a:schemeClr val="tx1">
                    <a:lumMod val="95000"/>
                    <a:lumOff val="5000"/>
                  </a:schemeClr>
                </a:solidFill>
              </a:ln>
              <a:effectLst/>
            </c:spPr>
            <c:extLst>
              <c:ext xmlns:c16="http://schemas.microsoft.com/office/drawing/2014/chart" uri="{C3380CC4-5D6E-409C-BE32-E72D297353CC}">
                <c16:uniqueId val="{00000003-BF88-4701-80F7-1E14941F2B3D}"/>
              </c:ext>
            </c:extLst>
          </c:dPt>
          <c:dPt>
            <c:idx val="2"/>
            <c:bubble3D val="0"/>
            <c:spPr>
              <a:solidFill>
                <a:schemeClr val="accent1">
                  <a:lumMod val="60000"/>
                  <a:lumOff val="40000"/>
                </a:schemeClr>
              </a:solidFill>
              <a:ln w="3175">
                <a:solidFill>
                  <a:schemeClr val="tx1">
                    <a:lumMod val="95000"/>
                    <a:lumOff val="5000"/>
                  </a:schemeClr>
                </a:solidFill>
              </a:ln>
              <a:effectLst/>
            </c:spPr>
            <c:extLst>
              <c:ext xmlns:c16="http://schemas.microsoft.com/office/drawing/2014/chart" uri="{C3380CC4-5D6E-409C-BE32-E72D297353CC}">
                <c16:uniqueId val="{00000005-BF88-4701-80F7-1E14941F2B3D}"/>
              </c:ext>
            </c:extLst>
          </c:dPt>
          <c:dLbls>
            <c:dLbl>
              <c:idx val="0"/>
              <c:layout>
                <c:manualLayout>
                  <c:x val="0.05"/>
                  <c:y val="1.635991820040897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F88-4701-80F7-1E14941F2B3D}"/>
                </c:ext>
              </c:extLst>
            </c:dLbl>
            <c:dLbl>
              <c:idx val="1"/>
              <c:layout>
                <c:manualLayout>
                  <c:x val="1.9444444444444445E-2"/>
                  <c:y val="-3.680981595092024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F88-4701-80F7-1E14941F2B3D}"/>
                </c:ext>
              </c:extLst>
            </c:dLbl>
            <c:dLbl>
              <c:idx val="2"/>
              <c:layout>
                <c:manualLayout>
                  <c:x val="-1.6666666666666642E-2"/>
                  <c:y val="4.907975460122699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F88-4701-80F7-1E14941F2B3D}"/>
                </c:ext>
              </c:extLst>
            </c:dLbl>
            <c:spPr>
              <a:noFill/>
              <a:ln>
                <a:noFill/>
              </a:ln>
              <a:effectLst/>
            </c:spPr>
            <c:txPr>
              <a:bodyPr rot="0" vert="horz"/>
              <a:lstStyle/>
              <a:p>
                <a:pPr>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Visualization!$B$27:$B$30</c:f>
              <c:strCache>
                <c:ptCount val="3"/>
                <c:pt idx="0">
                  <c:v>Appliances</c:v>
                </c:pt>
                <c:pt idx="1">
                  <c:v>Electronics</c:v>
                </c:pt>
                <c:pt idx="2">
                  <c:v>Furniture</c:v>
                </c:pt>
              </c:strCache>
            </c:strRef>
          </c:cat>
          <c:val>
            <c:numRef>
              <c:f>Visualization!$C$27:$C$30</c:f>
              <c:numCache>
                <c:formatCode>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BF88-4701-80F7-1E14941F2B3D}"/>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10000"/>
        <a:lumOff val="90000"/>
      </a:schemeClr>
    </a:solidFill>
    <a:ln w="25400" cap="flat" cmpd="sng" algn="ctr">
      <a:solidFill>
        <a:schemeClr val="tx1">
          <a:lumMod val="95000"/>
          <a:lumOff val="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(Excel).xlsx]Visualization!PivotTable11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rial Black" panose="020B0A04020102020204" pitchFamily="34" charset="0"/>
              </a:rPr>
              <a:t>Monthly Revenue Trend</a:t>
            </a:r>
          </a:p>
        </c:rich>
      </c:tx>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solidFill>
              <a:schemeClr val="accent1">
                <a:lumMod val="50000"/>
                <a:alpha val="92000"/>
              </a:schemeClr>
            </a:solidFill>
            <a:round/>
          </a:ln>
          <a:effectLst/>
        </c:spPr>
        <c:marker>
          <c:symbol val="circle"/>
          <c:size val="5"/>
        </c:marker>
        <c:dLbl>
          <c:idx val="0"/>
          <c:layout>
            <c:manualLayout>
              <c:x val="-5.9452464275298921E-3"/>
              <c:y val="-4.36680547725991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0" cap="rnd">
            <a:solidFill>
              <a:schemeClr val="accent1">
                <a:lumMod val="50000"/>
                <a:alpha val="92000"/>
              </a:schemeClr>
            </a:solidFill>
            <a:round/>
          </a:ln>
          <a:effectLst/>
        </c:spPr>
        <c:marker>
          <c:symbol val="circle"/>
          <c:size val="5"/>
        </c:marker>
        <c:dLbl>
          <c:idx val="0"/>
          <c:layout>
            <c:manualLayout>
              <c:x val="-4.4016294838145231E-2"/>
              <c:y val="6.02580422250913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a:solidFill>
              <a:schemeClr val="accent1">
                <a:lumMod val="50000"/>
                <a:alpha val="92000"/>
              </a:schemeClr>
            </a:solidFill>
            <a:round/>
          </a:ln>
          <a:effectLst/>
        </c:spPr>
        <c:marker>
          <c:symbol val="circle"/>
          <c:size val="5"/>
        </c:marker>
        <c:dLbl>
          <c:idx val="0"/>
          <c:layout>
            <c:manualLayout>
              <c:x val="-4.4016294838145315E-2"/>
              <c:y val="4.10124687070005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31750" cap="rnd">
            <a:solidFill>
              <a:schemeClr val="accent1">
                <a:lumMod val="50000"/>
                <a:alpha val="92000"/>
              </a:schemeClr>
            </a:solidFill>
            <a:round/>
          </a:ln>
          <a:effectLst/>
        </c:spPr>
        <c:marker>
          <c:symbol val="circle"/>
          <c:size val="5"/>
        </c:marker>
        <c:dLbl>
          <c:idx val="0"/>
          <c:layout>
            <c:manualLayout>
              <c:x val="-4.6331109652960049E-2"/>
              <c:y val="-3.2120710661744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31750" cap="rnd">
            <a:solidFill>
              <a:schemeClr val="accent1">
                <a:lumMod val="50000"/>
                <a:alpha val="92000"/>
              </a:schemeClr>
            </a:solidFill>
            <a:round/>
          </a:ln>
          <a:effectLst/>
        </c:spPr>
        <c:marker>
          <c:symbol val="circle"/>
          <c:size val="5"/>
        </c:marker>
        <c:dLbl>
          <c:idx val="0"/>
          <c:layout>
            <c:manualLayout>
              <c:x val="-2.7812591134441612E-2"/>
              <c:y val="-3.5969825365362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31750" cap="rnd">
            <a:solidFill>
              <a:schemeClr val="accent1">
                <a:lumMod val="50000"/>
                <a:alpha val="92000"/>
              </a:schemeClr>
            </a:solidFill>
            <a:round/>
          </a:ln>
          <a:effectLst/>
        </c:spPr>
        <c:marker>
          <c:symbol val="circle"/>
          <c:size val="5"/>
        </c:marker>
        <c:dLbl>
          <c:idx val="0"/>
          <c:layout>
            <c:manualLayout>
              <c:x val="-1.3923702245552682E-2"/>
              <c:y val="1.79177804852915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31750" cap="rnd">
            <a:solidFill>
              <a:schemeClr val="accent1">
                <a:lumMod val="50000"/>
                <a:alpha val="92000"/>
              </a:schemeClr>
            </a:solidFill>
            <a:round/>
          </a:ln>
          <a:effectLst/>
        </c:spPr>
        <c:marker>
          <c:symbol val="circle"/>
          <c:size val="5"/>
        </c:marker>
        <c:dLbl>
          <c:idx val="0"/>
          <c:layout>
            <c:manualLayout>
              <c:x val="-6.9479257801108196E-2"/>
              <c:y val="4.48615834106187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31750" cap="rnd">
            <a:solidFill>
              <a:schemeClr val="accent1">
                <a:lumMod val="50000"/>
                <a:alpha val="92000"/>
              </a:schemeClr>
            </a:solidFill>
            <a:round/>
          </a:ln>
          <a:effectLst/>
        </c:spPr>
        <c:marker>
          <c:symbol val="circle"/>
          <c:size val="5"/>
        </c:marker>
        <c:dLbl>
          <c:idx val="0"/>
          <c:layout>
            <c:manualLayout>
              <c:x val="-7.1794072615923007E-2"/>
              <c:y val="3.71633540033823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31750" cap="rnd">
            <a:solidFill>
              <a:schemeClr val="accent1">
                <a:lumMod val="50000"/>
                <a:alpha val="92000"/>
              </a:schemeClr>
            </a:solidFill>
            <a:round/>
          </a:ln>
          <a:effectLst/>
        </c:spPr>
        <c:marker>
          <c:symbol val="circle"/>
          <c:size val="5"/>
        </c:marker>
        <c:dLbl>
          <c:idx val="0"/>
          <c:layout>
            <c:manualLayout>
              <c:x val="-7.8738517060367455E-2"/>
              <c:y val="-2.44224812545083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31750" cap="rnd">
            <a:solidFill>
              <a:schemeClr val="accent1">
                <a:lumMod val="50000"/>
                <a:alpha val="92000"/>
              </a:schemeClr>
            </a:solidFill>
            <a:round/>
          </a:ln>
          <a:effectLst/>
        </c:spPr>
        <c:marker>
          <c:symbol val="circle"/>
          <c:size val="5"/>
        </c:marker>
        <c:dLbl>
          <c:idx val="0"/>
          <c:layout>
            <c:manualLayout>
              <c:x val="-6.9479257801108196E-2"/>
              <c:y val="-2.82715959581264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31750" cap="rnd">
            <a:solidFill>
              <a:schemeClr val="accent1">
                <a:lumMod val="50000"/>
                <a:alpha val="92000"/>
              </a:schemeClr>
            </a:solidFill>
            <a:round/>
          </a:ln>
          <a:effectLst/>
        </c:spPr>
        <c:marker>
          <c:symbol val="circle"/>
          <c:size val="5"/>
        </c:marker>
        <c:dLbl>
          <c:idx val="0"/>
          <c:layout>
            <c:manualLayout>
              <c:x val="-5.0960739282589679E-2"/>
              <c:y val="-3.21207106617446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1750" cap="rnd">
            <a:solidFill>
              <a:schemeClr val="accent1">
                <a:lumMod val="50000"/>
                <a:alpha val="92000"/>
              </a:schemeClr>
            </a:solidFill>
            <a:round/>
          </a:ln>
          <a:effectLst/>
        </c:spPr>
        <c:marker>
          <c:symbol val="circle"/>
          <c:size val="5"/>
        </c:marker>
        <c:dLbl>
          <c:idx val="0"/>
          <c:layout>
            <c:manualLayout>
              <c:x val="-6.2534813356663749E-2"/>
              <c:y val="-3.2120710661744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5.0960739282589679E-2"/>
              <c:y val="-3.21207106617446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7.1794072615923007E-2"/>
              <c:y val="3.71633540033823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1.3923702245552682E-2"/>
              <c:y val="1.79177804852915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6.9479257801108196E-2"/>
              <c:y val="-2.82715959581264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6.9479257801108196E-2"/>
              <c:y val="4.48615834106187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7.8738517060367455E-2"/>
              <c:y val="-2.44224812545083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2.7812591134441612E-2"/>
              <c:y val="-3.5969825365362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4.6331109652960049E-2"/>
              <c:y val="-3.2120710661744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4.4016294838145315E-2"/>
              <c:y val="4.10124687070005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6.2534813356663749E-2"/>
              <c:y val="-3.2120710661744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4.4016294838145231E-2"/>
              <c:y val="6.02580422250913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5.9452464275298921E-3"/>
              <c:y val="-4.36680547725991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5.0960739282589679E-2"/>
              <c:y val="-3.21207106617446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4.5005618715199432E-2"/>
              <c:y val="3.71634555015512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1.3923702245552682E-2"/>
              <c:y val="1.79177804852915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4.0012002060810792E-2"/>
              <c:y val="-2.82717285776850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4.2690845159177641E-2"/>
              <c:y val="4.09721392760560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4.6592358652795089E-2"/>
              <c:y val="-3.22016924080523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2.7812591134441612E-2"/>
              <c:y val="-3.5969825365362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1.016673688962059E-2"/>
              <c:y val="-2.04522276022381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4.4016294838145315E-2"/>
              <c:y val="4.10124687070005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3.8425262123215183E-2"/>
              <c:y val="-3.21208390374773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4.4016345161550584E-2"/>
              <c:y val="3.69208953898264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Lbl>
          <c:idx val="0"/>
          <c:layout>
            <c:manualLayout>
              <c:x val="-1.532118959617495E-2"/>
              <c:y val="-3.58890961266947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Visualization!$C$48</c:f>
              <c:strCache>
                <c:ptCount val="1"/>
                <c:pt idx="0">
                  <c:v>Total</c:v>
                </c:pt>
              </c:strCache>
            </c:strRef>
          </c:tx>
          <c:spPr>
            <a:ln w="31750" cap="rnd">
              <a:solidFill>
                <a:schemeClr val="accent1">
                  <a:lumMod val="50000"/>
                  <a:alpha val="92000"/>
                </a:schemeClr>
              </a:solidFill>
              <a:round/>
            </a:ln>
            <a:effectLst/>
          </c:spPr>
          <c:marker>
            <c:symbol val="circle"/>
            <c:size val="5"/>
            <c:spPr>
              <a:solidFill>
                <a:schemeClr val="tx2">
                  <a:lumMod val="10000"/>
                  <a:lumOff val="90000"/>
                </a:schemeClr>
              </a:solidFill>
              <a:ln w="0">
                <a:solidFill>
                  <a:schemeClr val="accent1"/>
                </a:solidFill>
              </a:ln>
              <a:effectLst/>
            </c:spPr>
          </c:marker>
          <c:dPt>
            <c:idx val="0"/>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1-3788-4F9D-8729-D541E45AD23F}"/>
              </c:ext>
            </c:extLst>
          </c:dPt>
          <c:dPt>
            <c:idx val="1"/>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3-3788-4F9D-8729-D541E45AD23F}"/>
              </c:ext>
            </c:extLst>
          </c:dPt>
          <c:dPt>
            <c:idx val="2"/>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5-3788-4F9D-8729-D541E45AD23F}"/>
              </c:ext>
            </c:extLst>
          </c:dPt>
          <c:dPt>
            <c:idx val="3"/>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7-3788-4F9D-8729-D541E45AD23F}"/>
              </c:ext>
            </c:extLst>
          </c:dPt>
          <c:dPt>
            <c:idx val="4"/>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9-3788-4F9D-8729-D541E45AD23F}"/>
              </c:ext>
            </c:extLst>
          </c:dPt>
          <c:dPt>
            <c:idx val="5"/>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B-3788-4F9D-8729-D541E45AD23F}"/>
              </c:ext>
            </c:extLst>
          </c:dPt>
          <c:dPt>
            <c:idx val="6"/>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D-3788-4F9D-8729-D541E45AD23F}"/>
              </c:ext>
            </c:extLst>
          </c:dPt>
          <c:dPt>
            <c:idx val="7"/>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0F-3788-4F9D-8729-D541E45AD23F}"/>
              </c:ext>
            </c:extLst>
          </c:dPt>
          <c:dPt>
            <c:idx val="8"/>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11-3788-4F9D-8729-D541E45AD23F}"/>
              </c:ext>
            </c:extLst>
          </c:dPt>
          <c:dPt>
            <c:idx val="9"/>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13-3788-4F9D-8729-D541E45AD23F}"/>
              </c:ext>
            </c:extLst>
          </c:dPt>
          <c:dPt>
            <c:idx val="10"/>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15-3788-4F9D-8729-D541E45AD23F}"/>
              </c:ext>
            </c:extLst>
          </c:dPt>
          <c:dPt>
            <c:idx val="11"/>
            <c:marker>
              <c:symbol val="circle"/>
              <c:size val="5"/>
              <c:spPr>
                <a:solidFill>
                  <a:schemeClr val="tx2">
                    <a:lumMod val="10000"/>
                    <a:lumOff val="90000"/>
                  </a:schemeClr>
                </a:solidFill>
                <a:ln w="0">
                  <a:solidFill>
                    <a:schemeClr val="accent1"/>
                  </a:solidFill>
                </a:ln>
                <a:effectLst/>
              </c:spPr>
            </c:marker>
            <c:bubble3D val="0"/>
            <c:spPr>
              <a:ln w="31750" cap="rnd">
                <a:solidFill>
                  <a:schemeClr val="accent1">
                    <a:lumMod val="50000"/>
                    <a:alpha val="92000"/>
                  </a:schemeClr>
                </a:solidFill>
                <a:round/>
              </a:ln>
              <a:effectLst/>
            </c:spPr>
            <c:extLst>
              <c:ext xmlns:c16="http://schemas.microsoft.com/office/drawing/2014/chart" uri="{C3380CC4-5D6E-409C-BE32-E72D297353CC}">
                <c16:uniqueId val="{00000017-3788-4F9D-8729-D541E45AD23F}"/>
              </c:ext>
            </c:extLst>
          </c:dPt>
          <c:dLbls>
            <c:dLbl>
              <c:idx val="0"/>
              <c:layout>
                <c:manualLayout>
                  <c:x val="-5.0960739282589679E-2"/>
                  <c:y val="-3.21207106617446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88-4F9D-8729-D541E45AD23F}"/>
                </c:ext>
              </c:extLst>
            </c:dLbl>
            <c:dLbl>
              <c:idx val="1"/>
              <c:layout>
                <c:manualLayout>
                  <c:x val="-4.5005618715199432E-2"/>
                  <c:y val="3.71634555015512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88-4F9D-8729-D541E45AD23F}"/>
                </c:ext>
              </c:extLst>
            </c:dLbl>
            <c:dLbl>
              <c:idx val="2"/>
              <c:layout>
                <c:manualLayout>
                  <c:x val="-1.3923702245552682E-2"/>
                  <c:y val="1.7917780485291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88-4F9D-8729-D541E45AD23F}"/>
                </c:ext>
              </c:extLst>
            </c:dLbl>
            <c:dLbl>
              <c:idx val="3"/>
              <c:layout>
                <c:manualLayout>
                  <c:x val="-4.0012002060810792E-2"/>
                  <c:y val="-2.82717285776850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88-4F9D-8729-D541E45AD23F}"/>
                </c:ext>
              </c:extLst>
            </c:dLbl>
            <c:dLbl>
              <c:idx val="4"/>
              <c:layout>
                <c:manualLayout>
                  <c:x val="-4.2690845159177641E-2"/>
                  <c:y val="4.09721392760560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788-4F9D-8729-D541E45AD23F}"/>
                </c:ext>
              </c:extLst>
            </c:dLbl>
            <c:dLbl>
              <c:idx val="5"/>
              <c:layout>
                <c:manualLayout>
                  <c:x val="-4.6592358652795089E-2"/>
                  <c:y val="-3.22016924080523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788-4F9D-8729-D541E45AD23F}"/>
                </c:ext>
              </c:extLst>
            </c:dLbl>
            <c:dLbl>
              <c:idx val="6"/>
              <c:layout>
                <c:manualLayout>
                  <c:x val="-2.7812591134441612E-2"/>
                  <c:y val="-3.5969825365362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788-4F9D-8729-D541E45AD23F}"/>
                </c:ext>
              </c:extLst>
            </c:dLbl>
            <c:dLbl>
              <c:idx val="7"/>
              <c:layout>
                <c:manualLayout>
                  <c:x val="-1.016673688962059E-2"/>
                  <c:y val="-2.04522276022381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788-4F9D-8729-D541E45AD23F}"/>
                </c:ext>
              </c:extLst>
            </c:dLbl>
            <c:dLbl>
              <c:idx val="8"/>
              <c:layout>
                <c:manualLayout>
                  <c:x val="-4.4016294838145315E-2"/>
                  <c:y val="4.10124687070005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788-4F9D-8729-D541E45AD23F}"/>
                </c:ext>
              </c:extLst>
            </c:dLbl>
            <c:dLbl>
              <c:idx val="9"/>
              <c:layout>
                <c:manualLayout>
                  <c:x val="-3.8425262123215183E-2"/>
                  <c:y val="-3.21208390374773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788-4F9D-8729-D541E45AD23F}"/>
                </c:ext>
              </c:extLst>
            </c:dLbl>
            <c:dLbl>
              <c:idx val="10"/>
              <c:layout>
                <c:manualLayout>
                  <c:x val="-4.4016345161550584E-2"/>
                  <c:y val="3.69208953898264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788-4F9D-8729-D541E45AD23F}"/>
                </c:ext>
              </c:extLst>
            </c:dLbl>
            <c:dLbl>
              <c:idx val="11"/>
              <c:layout>
                <c:manualLayout>
                  <c:x val="-1.532118959617495E-2"/>
                  <c:y val="-3.58890961266947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3788-4F9D-8729-D541E45AD23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Visualization!$B$49:$B$61</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Visualization!$C$49:$C$61</c:f>
              <c:numCache>
                <c:formatCode>0.00</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18-3788-4F9D-8729-D541E45AD23F}"/>
            </c:ext>
          </c:extLst>
        </c:ser>
        <c:dLbls>
          <c:dLblPos val="t"/>
          <c:showLegendKey val="0"/>
          <c:showVal val="1"/>
          <c:showCatName val="0"/>
          <c:showSerName val="0"/>
          <c:showPercent val="0"/>
          <c:showBubbleSize val="0"/>
        </c:dLbls>
        <c:marker val="1"/>
        <c:smooth val="0"/>
        <c:axId val="816232864"/>
        <c:axId val="816235744"/>
      </c:lineChart>
      <c:catAx>
        <c:axId val="816232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chemeClr val="tx1"/>
                    </a:solidFill>
                    <a:latin typeface="Arial Black" panose="020B0A04020102020204" pitchFamily="34" charset="0"/>
                  </a:rPr>
                  <a:t>Months</a:t>
                </a:r>
              </a:p>
            </c:rich>
          </c:tx>
          <c:layout>
            <c:manualLayout>
              <c:xMode val="edge"/>
              <c:yMode val="edge"/>
              <c:x val="0.43898789688906442"/>
              <c:y val="0.908384208384208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Black" panose="020B0A04020102020204" pitchFamily="34" charset="0"/>
                <a:ea typeface="+mn-ea"/>
                <a:cs typeface="+mn-cs"/>
              </a:defRPr>
            </a:pPr>
            <a:endParaRPr lang="en-US"/>
          </a:p>
        </c:txPr>
        <c:crossAx val="816235744"/>
        <c:crosses val="autoZero"/>
        <c:auto val="1"/>
        <c:lblAlgn val="ctr"/>
        <c:lblOffset val="100"/>
        <c:noMultiLvlLbl val="0"/>
      </c:catAx>
      <c:valAx>
        <c:axId val="816235744"/>
        <c:scaling>
          <c:orientation val="minMax"/>
        </c:scaling>
        <c:delete val="1"/>
        <c:axPos val="l"/>
        <c:numFmt formatCode="0.00" sourceLinked="1"/>
        <c:majorTickMark val="none"/>
        <c:minorTickMark val="none"/>
        <c:tickLblPos val="nextTo"/>
        <c:crossAx val="816232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10000"/>
        <a:lumOff val="90000"/>
      </a:schemeClr>
    </a:solidFill>
    <a:ln w="254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7620</xdr:colOff>
      <xdr:row>1</xdr:row>
      <xdr:rowOff>171450</xdr:rowOff>
    </xdr:from>
    <xdr:to>
      <xdr:col>12</xdr:col>
      <xdr:colOff>312420</xdr:colOff>
      <xdr:row>18</xdr:row>
      <xdr:rowOff>175260</xdr:rowOff>
    </xdr:to>
    <xdr:graphicFrame macro="">
      <xdr:nvGraphicFramePr>
        <xdr:cNvPr id="2" name="Chart 1">
          <a:extLst>
            <a:ext uri="{FF2B5EF4-FFF2-40B4-BE49-F238E27FC236}">
              <a16:creationId xmlns:a16="http://schemas.microsoft.com/office/drawing/2014/main" id="{FACFC7BA-8F53-9E30-DF2A-18C79DA5C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xdr:colOff>
      <xdr:row>23</xdr:row>
      <xdr:rowOff>179070</xdr:rowOff>
    </xdr:from>
    <xdr:to>
      <xdr:col>12</xdr:col>
      <xdr:colOff>320040</xdr:colOff>
      <xdr:row>40</xdr:row>
      <xdr:rowOff>175260</xdr:rowOff>
    </xdr:to>
    <xdr:graphicFrame macro="">
      <xdr:nvGraphicFramePr>
        <xdr:cNvPr id="3" name="Chart 2">
          <a:extLst>
            <a:ext uri="{FF2B5EF4-FFF2-40B4-BE49-F238E27FC236}">
              <a16:creationId xmlns:a16="http://schemas.microsoft.com/office/drawing/2014/main" id="{3C308B67-4CC1-9419-201C-2BA9E58A0F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15240</xdr:colOff>
      <xdr:row>46</xdr:row>
      <xdr:rowOff>0</xdr:rowOff>
    </xdr:from>
    <xdr:to>
      <xdr:col>14</xdr:col>
      <xdr:colOff>15240</xdr:colOff>
      <xdr:row>64</xdr:row>
      <xdr:rowOff>7620</xdr:rowOff>
    </xdr:to>
    <xdr:graphicFrame macro="">
      <xdr:nvGraphicFramePr>
        <xdr:cNvPr id="4" name="Chart 3">
          <a:extLst>
            <a:ext uri="{FF2B5EF4-FFF2-40B4-BE49-F238E27FC236}">
              <a16:creationId xmlns:a16="http://schemas.microsoft.com/office/drawing/2014/main" id="{25930A7C-4A1A-FB4E-D551-F1A095747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600634</xdr:colOff>
      <xdr:row>8</xdr:row>
      <xdr:rowOff>151797</xdr:rowOff>
    </xdr:from>
    <xdr:to>
      <xdr:col>15</xdr:col>
      <xdr:colOff>600635</xdr:colOff>
      <xdr:row>16</xdr:row>
      <xdr:rowOff>137340</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906B779C-DB62-4EE8-910F-C0EA32B9D9B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039034" y="1606524"/>
              <a:ext cx="7038110" cy="142641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0</xdr:colOff>
      <xdr:row>4</xdr:row>
      <xdr:rowOff>183396</xdr:rowOff>
    </xdr:from>
    <xdr:to>
      <xdr:col>4</xdr:col>
      <xdr:colOff>0</xdr:colOff>
      <xdr:row>17</xdr:row>
      <xdr:rowOff>15498</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0BF179FD-1037-46E8-A4DD-123C3D72E31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09600" y="896471"/>
              <a:ext cx="1828800" cy="2152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609599</xdr:colOff>
      <xdr:row>18</xdr:row>
      <xdr:rowOff>7749</xdr:rowOff>
    </xdr:from>
    <xdr:to>
      <xdr:col>7</xdr:col>
      <xdr:colOff>604432</xdr:colOff>
      <xdr:row>34</xdr:row>
      <xdr:rowOff>180813</xdr:rowOff>
    </xdr:to>
    <xdr:graphicFrame macro="">
      <xdr:nvGraphicFramePr>
        <xdr:cNvPr id="2" name="Chart 1">
          <a:extLst>
            <a:ext uri="{FF2B5EF4-FFF2-40B4-BE49-F238E27FC236}">
              <a16:creationId xmlns:a16="http://schemas.microsoft.com/office/drawing/2014/main" id="{DF888990-2EDD-400E-A59C-CB5CA5F8D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10886</xdr:colOff>
      <xdr:row>17</xdr:row>
      <xdr:rowOff>182879</xdr:rowOff>
    </xdr:from>
    <xdr:to>
      <xdr:col>15</xdr:col>
      <xdr:colOff>603504</xdr:colOff>
      <xdr:row>34</xdr:row>
      <xdr:rowOff>178524</xdr:rowOff>
    </xdr:to>
    <xdr:graphicFrame macro="">
      <xdr:nvGraphicFramePr>
        <xdr:cNvPr id="8" name="Chart 7">
          <a:extLst>
            <a:ext uri="{FF2B5EF4-FFF2-40B4-BE49-F238E27FC236}">
              <a16:creationId xmlns:a16="http://schemas.microsoft.com/office/drawing/2014/main" id="{E02E7E9B-2D82-49F0-9B57-CEC427FAE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4763</xdr:colOff>
      <xdr:row>39</xdr:row>
      <xdr:rowOff>152400</xdr:rowOff>
    </xdr:from>
    <xdr:to>
      <xdr:col>16</xdr:col>
      <xdr:colOff>0</xdr:colOff>
      <xdr:row>57</xdr:row>
      <xdr:rowOff>160020</xdr:rowOff>
    </xdr:to>
    <xdr:graphicFrame macro="">
      <xdr:nvGraphicFramePr>
        <xdr:cNvPr id="9" name="Chart 8">
          <a:extLst>
            <a:ext uri="{FF2B5EF4-FFF2-40B4-BE49-F238E27FC236}">
              <a16:creationId xmlns:a16="http://schemas.microsoft.com/office/drawing/2014/main" id="{D00695A8-8D92-4933-89DB-082EB188C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2.453527314814" createdVersion="8" refreshedVersion="8" minRefreshableVersion="3" recordCount="250" xr:uid="{370E26EB-74EF-4E8A-9150-AA8290CBDD45}">
  <cacheSource type="worksheet">
    <worksheetSource name="Table2"/>
  </cacheSource>
  <cacheFields count="15">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ount="50">
        <s v="CUST023"/>
        <s v="CUST013"/>
        <s v="CUST021"/>
        <s v="CUST046"/>
        <s v="CUST003"/>
        <s v="CUST024"/>
        <s v="CUST017"/>
        <s v="CUST009"/>
        <s v="CUST026"/>
        <s v="CUST022"/>
        <s v="CUST041"/>
        <s v="CUST043"/>
        <s v="CUST038"/>
        <s v="CUST027"/>
        <s v="CUST025"/>
        <s v="CUST010"/>
        <s v="CUST048"/>
        <s v="CUST018"/>
        <s v="CUST012"/>
        <s v="CUST044"/>
        <s v="CUST036"/>
        <s v="CUST014"/>
        <s v="CUST030"/>
        <s v="CUST029"/>
        <s v="CUST006"/>
        <s v="CUST002"/>
        <s v="CUST031"/>
        <s v="CUST008"/>
        <s v="CUST035"/>
        <s v="CUST019"/>
        <s v="CUST040"/>
        <s v="CUST004"/>
        <s v="CUST028"/>
        <s v="CUST050"/>
        <s v="CUST049"/>
        <s v="CUST007"/>
        <s v="CUST020"/>
        <s v="CUST033"/>
        <s v="CUST047"/>
        <s v="CUST016"/>
        <s v="CUST039"/>
        <s v="CUST034"/>
        <s v="CUST032"/>
        <s v="CUST042"/>
        <s v="CUST011"/>
        <s v="CUST015"/>
        <s v="CUST045"/>
        <s v="CUST005"/>
        <s v="CUST037"/>
        <s v="CUST001"/>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1">
      <sharedItems containsSemiMixedTypes="0" containsString="0" containsNumber="1" containsInteger="1" minValue="1" maxValue="5"/>
    </cacheField>
    <cacheField name="Unit_Price" numFmtId="2">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2">
      <sharedItems containsSemiMixedTypes="0" containsString="0" containsNumber="1" minValue="59.99" maxValue="4499.95"/>
    </cacheField>
    <cacheField name="MONTH" numFmtId="0">
      <sharedItems count="12">
        <s v="04"/>
        <s v="05"/>
        <s v="06"/>
        <s v="07"/>
        <s v="08"/>
        <s v="09"/>
        <s v="10"/>
        <s v="11"/>
        <s v="12"/>
        <s v="01"/>
        <s v="02"/>
        <s v="03"/>
      </sharedItems>
    </cacheField>
  </cacheFields>
  <extLst>
    <ext xmlns:x14="http://schemas.microsoft.com/office/spreadsheetml/2009/9/main" uri="{725AE2AE-9491-48be-B2B4-4EB974FC3084}">
      <x14:pivotCacheDefinition pivotCacheId="7576069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x v="0"/>
    <s v="Paul Baker"/>
    <s v="P009"/>
    <x v="0"/>
    <x v="0"/>
    <n v="3"/>
    <n v="249.99"/>
    <s v="Cash"/>
    <x v="0"/>
    <s v="Basic"/>
    <d v="2021-08-17T00:00:00"/>
    <n v="749.97"/>
    <x v="0"/>
  </r>
  <r>
    <s v="TRX0023"/>
    <x v="1"/>
    <x v="1"/>
    <s v="Joseph Jackson"/>
    <s v="P009"/>
    <x v="0"/>
    <x v="0"/>
    <n v="3"/>
    <n v="249.99"/>
    <s v="Credit Card"/>
    <x v="0"/>
    <s v="Premium"/>
    <d v="2022-01-14T00:00:00"/>
    <n v="749.97"/>
    <x v="0"/>
  </r>
  <r>
    <s v="TRX0139"/>
    <x v="2"/>
    <x v="2"/>
    <s v="Kevin Scott"/>
    <s v="P005"/>
    <x v="1"/>
    <x v="1"/>
    <n v="3"/>
    <n v="59.99"/>
    <s v="PayPal"/>
    <x v="1"/>
    <s v="Standard"/>
    <d v="2023-12-02T00:00:00"/>
    <n v="179.97"/>
    <x v="0"/>
  </r>
  <r>
    <s v="TRX0043"/>
    <x v="3"/>
    <x v="3"/>
    <s v="Kathleen Bennett"/>
    <s v="P005"/>
    <x v="1"/>
    <x v="1"/>
    <n v="3"/>
    <n v="59.99"/>
    <s v="Cash"/>
    <x v="2"/>
    <s v="Premium"/>
    <d v="2023-07-07T00:00:00"/>
    <n v="179.97"/>
    <x v="0"/>
  </r>
  <r>
    <s v="TRX0212"/>
    <x v="3"/>
    <x v="4"/>
    <s v="Michael Brown"/>
    <s v="P008"/>
    <x v="2"/>
    <x v="2"/>
    <n v="5"/>
    <n v="149.99"/>
    <s v="Credit Card"/>
    <x v="2"/>
    <s v="Premium"/>
    <d v="2024-01-04T00:00:00"/>
    <n v="749.95"/>
    <x v="0"/>
  </r>
  <r>
    <s v="TRX0092"/>
    <x v="4"/>
    <x v="5"/>
    <s v="Dorothy Nelson"/>
    <s v="P005"/>
    <x v="1"/>
    <x v="1"/>
    <n v="2"/>
    <n v="59.99"/>
    <s v="Cash"/>
    <x v="3"/>
    <s v="Standard"/>
    <d v="2022-07-04T00:00:00"/>
    <n v="119.98"/>
    <x v="0"/>
  </r>
  <r>
    <s v="TRX0193"/>
    <x v="4"/>
    <x v="5"/>
    <s v="Dorothy Nelson"/>
    <s v="P003"/>
    <x v="3"/>
    <x v="0"/>
    <n v="5"/>
    <n v="149.99"/>
    <s v="Credit Card"/>
    <x v="0"/>
    <s v="Standard"/>
    <d v="2021-08-10T00:00:00"/>
    <n v="749.95"/>
    <x v="0"/>
  </r>
  <r>
    <s v="TRX0240"/>
    <x v="4"/>
    <x v="6"/>
    <s v="Charles Allen"/>
    <s v="P005"/>
    <x v="1"/>
    <x v="1"/>
    <n v="3"/>
    <n v="59.99"/>
    <s v="Debit Card"/>
    <x v="1"/>
    <s v="Basic"/>
    <d v="2023-03-22T00:00:00"/>
    <n v="179.97"/>
    <x v="0"/>
  </r>
  <r>
    <s v="TRX0135"/>
    <x v="5"/>
    <x v="7"/>
    <s v="Robert Thomas"/>
    <s v="P001"/>
    <x v="4"/>
    <x v="0"/>
    <n v="3"/>
    <n v="899.99"/>
    <s v="PayPal"/>
    <x v="4"/>
    <s v="Standard"/>
    <d v="2024-01-08T00:00:00"/>
    <n v="2699.97"/>
    <x v="0"/>
  </r>
  <r>
    <s v="TRX0185"/>
    <x v="6"/>
    <x v="8"/>
    <s v="Karen Hill"/>
    <s v="P005"/>
    <x v="1"/>
    <x v="1"/>
    <n v="3"/>
    <n v="59.99"/>
    <s v="Cash"/>
    <x v="3"/>
    <s v="Premium"/>
    <d v="2023-10-08T00:00:00"/>
    <n v="179.97"/>
    <x v="0"/>
  </r>
  <r>
    <s v="TRX0138"/>
    <x v="6"/>
    <x v="9"/>
    <s v="Susan Green"/>
    <s v="P008"/>
    <x v="2"/>
    <x v="2"/>
    <n v="1"/>
    <n v="149.99"/>
    <s v="Credit Card"/>
    <x v="3"/>
    <s v="Standard"/>
    <d v="2023-06-26T00:00:00"/>
    <n v="149.99"/>
    <x v="0"/>
  </r>
  <r>
    <s v="TRX0209"/>
    <x v="6"/>
    <x v="3"/>
    <s v="Kathleen Bennett"/>
    <s v="P008"/>
    <x v="2"/>
    <x v="2"/>
    <n v="5"/>
    <n v="149.99"/>
    <s v="Debit Card"/>
    <x v="2"/>
    <s v="Basic"/>
    <d v="2022-09-26T00:00:00"/>
    <n v="749.95"/>
    <x v="0"/>
  </r>
  <r>
    <s v="TRX0246"/>
    <x v="6"/>
    <x v="10"/>
    <s v="Peter Richardson"/>
    <s v="P008"/>
    <x v="2"/>
    <x v="2"/>
    <n v="3"/>
    <n v="149.99"/>
    <s v="Cash"/>
    <x v="2"/>
    <s v="Premium"/>
    <d v="2022-09-02T00:00:00"/>
    <n v="449.97"/>
    <x v="0"/>
  </r>
  <r>
    <s v="TRX0067"/>
    <x v="7"/>
    <x v="11"/>
    <s v="Dennis Gray"/>
    <s v="P005"/>
    <x v="1"/>
    <x v="1"/>
    <n v="3"/>
    <n v="59.99"/>
    <s v="Credit Card"/>
    <x v="2"/>
    <s v="Standard"/>
    <d v="2024-02-29T00:00:00"/>
    <n v="179.97"/>
    <x v="0"/>
  </r>
  <r>
    <s v="TRX0191"/>
    <x v="7"/>
    <x v="12"/>
    <s v="Michelle Rogers"/>
    <s v="P002"/>
    <x v="5"/>
    <x v="0"/>
    <n v="3"/>
    <n v="699.99"/>
    <s v="Credit Card"/>
    <x v="3"/>
    <s v="Basic"/>
    <d v="2022-01-16T00:00:00"/>
    <n v="2099.9699999999998"/>
    <x v="0"/>
  </r>
  <r>
    <s v="TRX0230"/>
    <x v="7"/>
    <x v="13"/>
    <s v="George Adams"/>
    <s v="P001"/>
    <x v="4"/>
    <x v="0"/>
    <n v="1"/>
    <n v="899.99"/>
    <s v="Debit Card"/>
    <x v="2"/>
    <s v="Standard"/>
    <d v="2022-12-25T00:00:00"/>
    <n v="899.99"/>
    <x v="0"/>
  </r>
  <r>
    <s v="TRX0049"/>
    <x v="8"/>
    <x v="14"/>
    <s v="Mark Carter"/>
    <s v="P008"/>
    <x v="2"/>
    <x v="2"/>
    <n v="4"/>
    <n v="149.99"/>
    <s v="Debit Card"/>
    <x v="2"/>
    <s v="Premium"/>
    <d v="2024-03-23T00:00:00"/>
    <n v="599.96"/>
    <x v="0"/>
  </r>
  <r>
    <s v="TRX0134"/>
    <x v="8"/>
    <x v="15"/>
    <s v="Maria Garcia"/>
    <s v="P002"/>
    <x v="5"/>
    <x v="0"/>
    <n v="2"/>
    <n v="699.99"/>
    <s v="Cash"/>
    <x v="2"/>
    <s v="Basic"/>
    <d v="2022-08-08T00:00:00"/>
    <n v="1399.98"/>
    <x v="0"/>
  </r>
  <r>
    <s v="TRX0122"/>
    <x v="8"/>
    <x v="14"/>
    <s v="Mark Carter"/>
    <s v="P001"/>
    <x v="4"/>
    <x v="0"/>
    <n v="4"/>
    <n v="899.99"/>
    <s v="Credit Card"/>
    <x v="3"/>
    <s v="Standard"/>
    <d v="2024-02-05T00:00:00"/>
    <n v="3599.96"/>
    <x v="0"/>
  </r>
  <r>
    <s v="TRX0222"/>
    <x v="8"/>
    <x v="16"/>
    <s v="Virginia Sanders"/>
    <s v="P009"/>
    <x v="0"/>
    <x v="0"/>
    <n v="3"/>
    <n v="249.99"/>
    <s v="Credit Card"/>
    <x v="2"/>
    <s v="Premium"/>
    <d v="2023-10-25T00:00:00"/>
    <n v="749.97"/>
    <x v="0"/>
  </r>
  <r>
    <s v="TRX0231"/>
    <x v="9"/>
    <x v="17"/>
    <s v="Barbara Young"/>
    <s v="P002"/>
    <x v="5"/>
    <x v="0"/>
    <n v="5"/>
    <n v="699.99"/>
    <s v="Cash"/>
    <x v="3"/>
    <s v="Basic"/>
    <d v="2023-08-29T00:00:00"/>
    <n v="3499.95"/>
    <x v="0"/>
  </r>
  <r>
    <s v="TRX0239"/>
    <x v="10"/>
    <x v="18"/>
    <s v="Patricia Moore"/>
    <s v="P002"/>
    <x v="5"/>
    <x v="0"/>
    <n v="4"/>
    <n v="699.99"/>
    <s v="Cash"/>
    <x v="4"/>
    <s v="Standard"/>
    <d v="2021-08-01T00:00:00"/>
    <n v="2799.96"/>
    <x v="1"/>
  </r>
  <r>
    <s v="TRX0204"/>
    <x v="11"/>
    <x v="19"/>
    <s v="Cynthia Price"/>
    <s v="P009"/>
    <x v="0"/>
    <x v="0"/>
    <n v="4"/>
    <n v="249.99"/>
    <s v="PayPal"/>
    <x v="2"/>
    <s v="Standard"/>
    <d v="2021-09-29T00:00:00"/>
    <n v="999.96"/>
    <x v="1"/>
  </r>
  <r>
    <s v="TRX0242"/>
    <x v="12"/>
    <x v="14"/>
    <s v="Mark Carter"/>
    <s v="P007"/>
    <x v="6"/>
    <x v="2"/>
    <n v="4"/>
    <n v="299.99"/>
    <s v="Cash"/>
    <x v="3"/>
    <s v="Premium"/>
    <d v="2022-06-04T00:00:00"/>
    <n v="1199.96"/>
    <x v="1"/>
  </r>
  <r>
    <s v="TRX0071"/>
    <x v="13"/>
    <x v="20"/>
    <s v="Nancy Collins"/>
    <s v="P009"/>
    <x v="0"/>
    <x v="0"/>
    <n v="5"/>
    <n v="249.99"/>
    <s v="Credit Card"/>
    <x v="3"/>
    <s v="Standard"/>
    <d v="2021-11-25T00:00:00"/>
    <n v="1249.95"/>
    <x v="1"/>
  </r>
  <r>
    <s v="TRX0040"/>
    <x v="14"/>
    <x v="9"/>
    <s v="Susan Green"/>
    <s v="P007"/>
    <x v="6"/>
    <x v="2"/>
    <n v="5"/>
    <n v="299.99"/>
    <s v="PayPal"/>
    <x v="4"/>
    <s v="Basic"/>
    <d v="2023-08-30T00:00:00"/>
    <n v="1499.95"/>
    <x v="1"/>
  </r>
  <r>
    <s v="TRX0235"/>
    <x v="14"/>
    <x v="21"/>
    <s v="Linda Martin"/>
    <s v="P004"/>
    <x v="7"/>
    <x v="1"/>
    <n v="3"/>
    <n v="79.989999999999995"/>
    <s v="PayPal"/>
    <x v="4"/>
    <s v="Premium"/>
    <d v="2023-03-27T00:00:00"/>
    <n v="239.97"/>
    <x v="1"/>
  </r>
  <r>
    <s v="TRX0004"/>
    <x v="14"/>
    <x v="18"/>
    <s v="Patricia Moore"/>
    <s v="P010"/>
    <x v="8"/>
    <x v="0"/>
    <n v="5"/>
    <n v="89.99"/>
    <s v="Cash"/>
    <x v="2"/>
    <s v="Premium"/>
    <d v="2022-12-24T00:00:00"/>
    <n v="449.95"/>
    <x v="1"/>
  </r>
  <r>
    <s v="TRX0063"/>
    <x v="15"/>
    <x v="22"/>
    <s v="Helen Roberts"/>
    <s v="P005"/>
    <x v="1"/>
    <x v="1"/>
    <n v="2"/>
    <n v="59.99"/>
    <s v="Debit Card"/>
    <x v="0"/>
    <s v="Standard"/>
    <d v="2023-10-15T00:00:00"/>
    <n v="119.98"/>
    <x v="1"/>
  </r>
  <r>
    <s v="TRX0241"/>
    <x v="16"/>
    <x v="23"/>
    <s v="Edward Mitchell"/>
    <s v="P005"/>
    <x v="1"/>
    <x v="1"/>
    <n v="4"/>
    <n v="59.99"/>
    <s v="Debit Card"/>
    <x v="4"/>
    <s v="Standard"/>
    <d v="2022-11-02T00:00:00"/>
    <n v="239.96"/>
    <x v="1"/>
  </r>
  <r>
    <s v="TRX0029"/>
    <x v="16"/>
    <x v="6"/>
    <s v="Charles Allen"/>
    <s v="P006"/>
    <x v="9"/>
    <x v="2"/>
    <n v="5"/>
    <n v="199.99"/>
    <s v="Cash"/>
    <x v="1"/>
    <s v="Standard"/>
    <d v="2021-08-04T00:00:00"/>
    <n v="999.95"/>
    <x v="1"/>
  </r>
  <r>
    <s v="TRX0194"/>
    <x v="17"/>
    <x v="24"/>
    <s v="Lisa Anderson"/>
    <s v="P008"/>
    <x v="2"/>
    <x v="2"/>
    <n v="2"/>
    <n v="149.99"/>
    <s v="Credit Card"/>
    <x v="3"/>
    <s v="Basic"/>
    <d v="2022-09-19T00:00:00"/>
    <n v="299.98"/>
    <x v="1"/>
  </r>
  <r>
    <s v="TRX0130"/>
    <x v="18"/>
    <x v="25"/>
    <s v="Emma Wilson"/>
    <s v="P008"/>
    <x v="2"/>
    <x v="2"/>
    <n v="3"/>
    <n v="149.99"/>
    <s v="Credit Card"/>
    <x v="3"/>
    <s v="Premium"/>
    <d v="2023-05-22T00:00:00"/>
    <n v="449.97"/>
    <x v="1"/>
  </r>
  <r>
    <s v="TRX0041"/>
    <x v="19"/>
    <x v="2"/>
    <s v="Kevin Scott"/>
    <s v="P001"/>
    <x v="4"/>
    <x v="0"/>
    <n v="1"/>
    <n v="899.99"/>
    <s v="Credit Card"/>
    <x v="3"/>
    <s v="Premium"/>
    <d v="2022-01-17T00:00:00"/>
    <n v="899.99"/>
    <x v="1"/>
  </r>
  <r>
    <s v="TRX0232"/>
    <x v="20"/>
    <x v="18"/>
    <s v="Patricia Moore"/>
    <s v="P007"/>
    <x v="6"/>
    <x v="2"/>
    <n v="3"/>
    <n v="299.99"/>
    <s v="Credit Card"/>
    <x v="4"/>
    <s v="Basic"/>
    <d v="2022-09-20T00:00:00"/>
    <n v="899.97"/>
    <x v="1"/>
  </r>
  <r>
    <s v="TRX0021"/>
    <x v="21"/>
    <x v="24"/>
    <s v="Lisa Anderson"/>
    <s v="P004"/>
    <x v="7"/>
    <x v="1"/>
    <n v="3"/>
    <n v="79.989999999999995"/>
    <s v="Cash"/>
    <x v="1"/>
    <s v="Basic"/>
    <d v="2023-04-30T00:00:00"/>
    <n v="239.97"/>
    <x v="1"/>
  </r>
  <r>
    <s v="TRX0245"/>
    <x v="22"/>
    <x v="26"/>
    <s v="Steven Turner"/>
    <s v="P006"/>
    <x v="9"/>
    <x v="2"/>
    <n v="3"/>
    <n v="199.99"/>
    <s v="Credit Card"/>
    <x v="2"/>
    <s v="Premium"/>
    <d v="2024-01-01T00:00:00"/>
    <n v="599.97"/>
    <x v="1"/>
  </r>
  <r>
    <s v="TRX0015"/>
    <x v="23"/>
    <x v="27"/>
    <s v="Jennifer Taylor"/>
    <s v="P002"/>
    <x v="5"/>
    <x v="0"/>
    <n v="5"/>
    <n v="699.99"/>
    <s v="PayPal"/>
    <x v="3"/>
    <s v="Standard"/>
    <d v="2021-07-30T00:00:00"/>
    <n v="3499.95"/>
    <x v="1"/>
  </r>
  <r>
    <s v="TRX0202"/>
    <x v="24"/>
    <x v="28"/>
    <s v="Harry Morgan"/>
    <s v="P010"/>
    <x v="8"/>
    <x v="0"/>
    <n v="3"/>
    <n v="89.99"/>
    <s v="PayPal"/>
    <x v="0"/>
    <s v="Premium"/>
    <d v="2023-07-13T00:00:00"/>
    <n v="269.97000000000003"/>
    <x v="1"/>
  </r>
  <r>
    <s v="TRX0042"/>
    <x v="25"/>
    <x v="29"/>
    <s v="Daniel King"/>
    <s v="P004"/>
    <x v="7"/>
    <x v="1"/>
    <n v="1"/>
    <n v="79.989999999999995"/>
    <s v="Cash"/>
    <x v="2"/>
    <s v="Standard"/>
    <d v="2022-12-22T00:00:00"/>
    <n v="79.989999999999995"/>
    <x v="1"/>
  </r>
  <r>
    <s v="TRX0128"/>
    <x v="26"/>
    <x v="30"/>
    <s v="Sharon Butler"/>
    <s v="P005"/>
    <x v="1"/>
    <x v="1"/>
    <n v="2"/>
    <n v="59.99"/>
    <s v="Cash"/>
    <x v="3"/>
    <s v="Basic"/>
    <d v="2024-04-08T00:00:00"/>
    <n v="119.98"/>
    <x v="2"/>
  </r>
  <r>
    <s v="TRX0117"/>
    <x v="26"/>
    <x v="6"/>
    <s v="Charles Allen"/>
    <s v="P010"/>
    <x v="8"/>
    <x v="0"/>
    <n v="1"/>
    <n v="89.99"/>
    <s v="Cash"/>
    <x v="2"/>
    <s v="Basic"/>
    <d v="2023-08-03T00:00:00"/>
    <n v="89.99"/>
    <x v="2"/>
  </r>
  <r>
    <s v="TRX0208"/>
    <x v="27"/>
    <x v="31"/>
    <s v="Sarah Davis"/>
    <s v="P010"/>
    <x v="8"/>
    <x v="0"/>
    <n v="5"/>
    <n v="89.99"/>
    <s v="Credit Card"/>
    <x v="4"/>
    <s v="Standard"/>
    <d v="2022-01-26T00:00:00"/>
    <n v="449.95"/>
    <x v="2"/>
  </r>
  <r>
    <s v="TRX0234"/>
    <x v="28"/>
    <x v="1"/>
    <s v="Joseph Jackson"/>
    <s v="P009"/>
    <x v="0"/>
    <x v="0"/>
    <n v="5"/>
    <n v="249.99"/>
    <s v="Credit Card"/>
    <x v="4"/>
    <s v="Standard"/>
    <d v="2022-05-26T00:00:00"/>
    <n v="1249.95"/>
    <x v="2"/>
  </r>
  <r>
    <s v="TRX0121"/>
    <x v="28"/>
    <x v="32"/>
    <s v="Betty Campbell"/>
    <s v="P010"/>
    <x v="8"/>
    <x v="0"/>
    <n v="1"/>
    <n v="89.99"/>
    <s v="Credit Card"/>
    <x v="1"/>
    <s v="Standard"/>
    <d v="2022-01-21T00:00:00"/>
    <n v="89.99"/>
    <x v="2"/>
  </r>
  <r>
    <s v="TRX0220"/>
    <x v="29"/>
    <x v="4"/>
    <s v="Michael Brown"/>
    <s v="P008"/>
    <x v="2"/>
    <x v="2"/>
    <n v="2"/>
    <n v="149.99"/>
    <s v="Cash"/>
    <x v="4"/>
    <s v="Premium"/>
    <d v="2022-03-25T00:00:00"/>
    <n v="299.98"/>
    <x v="2"/>
  </r>
  <r>
    <s v="TRX0093"/>
    <x v="30"/>
    <x v="33"/>
    <s v="Julie Foster"/>
    <s v="P005"/>
    <x v="1"/>
    <x v="1"/>
    <n v="4"/>
    <n v="59.99"/>
    <s v="Cash"/>
    <x v="4"/>
    <s v="Standard"/>
    <d v="2021-08-27T00:00:00"/>
    <n v="239.96"/>
    <x v="2"/>
  </r>
  <r>
    <s v="TRX0088"/>
    <x v="31"/>
    <x v="24"/>
    <s v="Lisa Anderson"/>
    <s v="P010"/>
    <x v="8"/>
    <x v="0"/>
    <n v="5"/>
    <n v="89.99"/>
    <s v="Cash"/>
    <x v="0"/>
    <s v="Premium"/>
    <d v="2022-01-18T00:00:00"/>
    <n v="449.95"/>
    <x v="2"/>
  </r>
  <r>
    <s v="TRX0115"/>
    <x v="32"/>
    <x v="18"/>
    <s v="Patricia Moore"/>
    <s v="P010"/>
    <x v="8"/>
    <x v="0"/>
    <n v="2"/>
    <n v="89.99"/>
    <s v="Credit Card"/>
    <x v="1"/>
    <s v="Premium"/>
    <d v="2021-10-02T00:00:00"/>
    <n v="179.98"/>
    <x v="2"/>
  </r>
  <r>
    <s v="TRX0154"/>
    <x v="32"/>
    <x v="0"/>
    <s v="Paul Baker"/>
    <s v="P001"/>
    <x v="4"/>
    <x v="0"/>
    <n v="5"/>
    <n v="899.99"/>
    <s v="Credit Card"/>
    <x v="1"/>
    <s v="Standard"/>
    <d v="2023-02-17T00:00:00"/>
    <n v="4499.95"/>
    <x v="2"/>
  </r>
  <r>
    <s v="TRX0044"/>
    <x v="32"/>
    <x v="23"/>
    <s v="Edward Mitchell"/>
    <s v="P001"/>
    <x v="4"/>
    <x v="0"/>
    <n v="5"/>
    <n v="899.99"/>
    <s v="PayPal"/>
    <x v="4"/>
    <s v="Premium"/>
    <d v="2023-12-18T00:00:00"/>
    <n v="4499.95"/>
    <x v="2"/>
  </r>
  <r>
    <s v="TRX0061"/>
    <x v="33"/>
    <x v="32"/>
    <s v="Betty Campbell"/>
    <s v="P005"/>
    <x v="1"/>
    <x v="1"/>
    <n v="1"/>
    <n v="59.99"/>
    <s v="Debit Card"/>
    <x v="3"/>
    <s v="Premium"/>
    <d v="2023-09-21T00:00:00"/>
    <n v="59.99"/>
    <x v="2"/>
  </r>
  <r>
    <s v="TRX0150"/>
    <x v="33"/>
    <x v="27"/>
    <s v="Jennifer Taylor"/>
    <s v="P007"/>
    <x v="6"/>
    <x v="2"/>
    <n v="2"/>
    <n v="299.99"/>
    <s v="Debit Card"/>
    <x v="4"/>
    <s v="Standard"/>
    <d v="2023-11-23T00:00:00"/>
    <n v="599.98"/>
    <x v="2"/>
  </r>
  <r>
    <s v="TRX0025"/>
    <x v="34"/>
    <x v="34"/>
    <s v="Raymond Ross"/>
    <s v="P010"/>
    <x v="8"/>
    <x v="0"/>
    <n v="4"/>
    <n v="89.99"/>
    <s v="Debit Card"/>
    <x v="1"/>
    <s v="Basic"/>
    <d v="2023-12-21T00:00:00"/>
    <n v="359.96"/>
    <x v="2"/>
  </r>
  <r>
    <s v="TRX0078"/>
    <x v="35"/>
    <x v="2"/>
    <s v="Kevin Scott"/>
    <s v="P004"/>
    <x v="7"/>
    <x v="1"/>
    <n v="1"/>
    <n v="79.989999999999995"/>
    <s v="PayPal"/>
    <x v="0"/>
    <s v="Premium"/>
    <d v="2024-03-01T00:00:00"/>
    <n v="79.989999999999995"/>
    <x v="2"/>
  </r>
  <r>
    <s v="TRX0007"/>
    <x v="35"/>
    <x v="7"/>
    <s v="Robert Thomas"/>
    <s v="P010"/>
    <x v="8"/>
    <x v="0"/>
    <n v="2"/>
    <n v="89.99"/>
    <s v="Cash"/>
    <x v="3"/>
    <s v="Basic"/>
    <d v="2021-08-30T00:00:00"/>
    <n v="179.98"/>
    <x v="2"/>
  </r>
  <r>
    <s v="TRX0184"/>
    <x v="36"/>
    <x v="3"/>
    <s v="Kathleen Bennett"/>
    <s v="P002"/>
    <x v="5"/>
    <x v="0"/>
    <n v="3"/>
    <n v="699.99"/>
    <s v="Credit Card"/>
    <x v="4"/>
    <s v="Premium"/>
    <d v="2023-06-25T00:00:00"/>
    <n v="2099.9699999999998"/>
    <x v="2"/>
  </r>
  <r>
    <s v="TRX0104"/>
    <x v="36"/>
    <x v="18"/>
    <s v="Patricia Moore"/>
    <s v="P001"/>
    <x v="4"/>
    <x v="0"/>
    <n v="4"/>
    <n v="899.99"/>
    <s v="Credit Card"/>
    <x v="4"/>
    <s v="Premium"/>
    <d v="2023-03-08T00:00:00"/>
    <n v="3599.96"/>
    <x v="2"/>
  </r>
  <r>
    <s v="TRX0127"/>
    <x v="37"/>
    <x v="22"/>
    <s v="Helen Roberts"/>
    <s v="P008"/>
    <x v="2"/>
    <x v="2"/>
    <n v="1"/>
    <n v="149.99"/>
    <s v="PayPal"/>
    <x v="4"/>
    <s v="Basic"/>
    <d v="2022-10-17T00:00:00"/>
    <n v="149.99"/>
    <x v="2"/>
  </r>
  <r>
    <s v="TRX0096"/>
    <x v="38"/>
    <x v="25"/>
    <s v="Emma Wilson"/>
    <s v="P010"/>
    <x v="8"/>
    <x v="0"/>
    <n v="2"/>
    <n v="89.99"/>
    <s v="PayPal"/>
    <x v="0"/>
    <s v="Premium"/>
    <d v="2023-12-15T00:00:00"/>
    <n v="179.98"/>
    <x v="3"/>
  </r>
  <r>
    <s v="TRX0192"/>
    <x v="39"/>
    <x v="6"/>
    <s v="Charles Allen"/>
    <s v="P010"/>
    <x v="8"/>
    <x v="0"/>
    <n v="1"/>
    <n v="89.99"/>
    <s v="PayPal"/>
    <x v="3"/>
    <s v="Standard"/>
    <d v="2022-08-29T00:00:00"/>
    <n v="89.99"/>
    <x v="3"/>
  </r>
  <r>
    <s v="TRX0052"/>
    <x v="40"/>
    <x v="9"/>
    <s v="Susan Green"/>
    <s v="P010"/>
    <x v="8"/>
    <x v="0"/>
    <n v="1"/>
    <n v="89.99"/>
    <s v="Cash"/>
    <x v="1"/>
    <s v="Standard"/>
    <d v="2022-02-19T00:00:00"/>
    <n v="89.99"/>
    <x v="3"/>
  </r>
  <r>
    <s v="TRX0070"/>
    <x v="40"/>
    <x v="35"/>
    <s v="David Martinez"/>
    <s v="P004"/>
    <x v="7"/>
    <x v="1"/>
    <n v="5"/>
    <n v="79.989999999999995"/>
    <s v="Debit Card"/>
    <x v="0"/>
    <s v="Basic"/>
    <d v="2023-02-24T00:00:00"/>
    <n v="399.95"/>
    <x v="3"/>
  </r>
  <r>
    <s v="TRX0086"/>
    <x v="41"/>
    <x v="36"/>
    <s v="Margaret Wright"/>
    <s v="P008"/>
    <x v="2"/>
    <x v="2"/>
    <n v="1"/>
    <n v="149.99"/>
    <s v="PayPal"/>
    <x v="2"/>
    <s v="Basic"/>
    <d v="2021-08-13T00:00:00"/>
    <n v="149.99"/>
    <x v="3"/>
  </r>
  <r>
    <s v="TRX0113"/>
    <x v="41"/>
    <x v="4"/>
    <s v="Michael Brown"/>
    <s v="P002"/>
    <x v="5"/>
    <x v="0"/>
    <n v="2"/>
    <n v="699.99"/>
    <s v="PayPal"/>
    <x v="4"/>
    <s v="Premium"/>
    <d v="2024-04-07T00:00:00"/>
    <n v="1399.98"/>
    <x v="3"/>
  </r>
  <r>
    <s v="TRX0114"/>
    <x v="41"/>
    <x v="17"/>
    <s v="Barbara Young"/>
    <s v="P010"/>
    <x v="8"/>
    <x v="0"/>
    <n v="5"/>
    <n v="89.99"/>
    <s v="Debit Card"/>
    <x v="2"/>
    <s v="Premium"/>
    <d v="2023-08-23T00:00:00"/>
    <n v="449.95"/>
    <x v="3"/>
  </r>
  <r>
    <s v="TRX0136"/>
    <x v="42"/>
    <x v="34"/>
    <s v="Raymond Ross"/>
    <s v="P005"/>
    <x v="1"/>
    <x v="1"/>
    <n v="4"/>
    <n v="59.99"/>
    <s v="Cash"/>
    <x v="1"/>
    <s v="Standard"/>
    <d v="2021-11-09T00:00:00"/>
    <n v="239.96"/>
    <x v="3"/>
  </r>
  <r>
    <s v="TRX0018"/>
    <x v="43"/>
    <x v="1"/>
    <s v="Joseph Jackson"/>
    <s v="P003"/>
    <x v="3"/>
    <x v="0"/>
    <n v="1"/>
    <n v="149.99"/>
    <s v="Cash"/>
    <x v="0"/>
    <s v="Standard"/>
    <d v="2022-12-14T00:00:00"/>
    <n v="149.99"/>
    <x v="3"/>
  </r>
  <r>
    <s v="TRX0141"/>
    <x v="43"/>
    <x v="37"/>
    <s v="Frank Torres"/>
    <s v="P007"/>
    <x v="6"/>
    <x v="2"/>
    <n v="1"/>
    <n v="299.99"/>
    <s v="Credit Card"/>
    <x v="2"/>
    <s v="Premium"/>
    <d v="2022-11-26T00:00:00"/>
    <n v="299.99"/>
    <x v="3"/>
  </r>
  <r>
    <s v="TRX0097"/>
    <x v="44"/>
    <x v="37"/>
    <s v="Frank Torres"/>
    <s v="P006"/>
    <x v="9"/>
    <x v="2"/>
    <n v="2"/>
    <n v="199.99"/>
    <s v="Cash"/>
    <x v="2"/>
    <s v="Basic"/>
    <d v="2021-12-11T00:00:00"/>
    <n v="399.98"/>
    <x v="3"/>
  </r>
  <r>
    <s v="TRX0169"/>
    <x v="45"/>
    <x v="38"/>
    <s v="Gerald Murphy"/>
    <s v="P005"/>
    <x v="1"/>
    <x v="1"/>
    <n v="3"/>
    <n v="59.99"/>
    <s v="Credit Card"/>
    <x v="3"/>
    <s v="Basic"/>
    <d v="2023-07-23T00:00:00"/>
    <n v="179.97"/>
    <x v="3"/>
  </r>
  <r>
    <s v="TRX0216"/>
    <x v="45"/>
    <x v="10"/>
    <s v="Peter Richardson"/>
    <s v="P008"/>
    <x v="2"/>
    <x v="2"/>
    <n v="3"/>
    <n v="149.99"/>
    <s v="Cash"/>
    <x v="0"/>
    <s v="Premium"/>
    <d v="2023-09-30T00:00:00"/>
    <n v="449.97"/>
    <x v="3"/>
  </r>
  <r>
    <s v="TRX0131"/>
    <x v="46"/>
    <x v="8"/>
    <s v="Karen Hill"/>
    <s v="P006"/>
    <x v="9"/>
    <x v="2"/>
    <n v="3"/>
    <n v="199.99"/>
    <s v="Cash"/>
    <x v="2"/>
    <s v="Premium"/>
    <d v="2023-11-24T00:00:00"/>
    <n v="599.97"/>
    <x v="3"/>
  </r>
  <r>
    <s v="TRX0162"/>
    <x v="47"/>
    <x v="30"/>
    <s v="Sharon Butler"/>
    <s v="P001"/>
    <x v="4"/>
    <x v="0"/>
    <n v="1"/>
    <n v="899.99"/>
    <s v="Cash"/>
    <x v="0"/>
    <s v="Standard"/>
    <d v="2023-09-10T00:00:00"/>
    <n v="899.99"/>
    <x v="3"/>
  </r>
  <r>
    <s v="TRX0244"/>
    <x v="48"/>
    <x v="1"/>
    <s v="Joseph Jackson"/>
    <s v="P001"/>
    <x v="4"/>
    <x v="0"/>
    <n v="5"/>
    <n v="899.99"/>
    <s v="Debit Card"/>
    <x v="1"/>
    <s v="Standard"/>
    <d v="2022-12-04T00:00:00"/>
    <n v="4499.95"/>
    <x v="3"/>
  </r>
  <r>
    <s v="TRX0006"/>
    <x v="49"/>
    <x v="35"/>
    <s v="David Martinez"/>
    <s v="P005"/>
    <x v="1"/>
    <x v="1"/>
    <n v="2"/>
    <n v="59.99"/>
    <s v="Cash"/>
    <x v="2"/>
    <s v="Standard"/>
    <d v="2023-08-14T00:00:00"/>
    <n v="119.98"/>
    <x v="3"/>
  </r>
  <r>
    <s v="TRX0215"/>
    <x v="49"/>
    <x v="38"/>
    <s v="Gerald Murphy"/>
    <s v="P009"/>
    <x v="0"/>
    <x v="0"/>
    <n v="4"/>
    <n v="249.99"/>
    <s v="Debit Card"/>
    <x v="0"/>
    <s v="Standard"/>
    <d v="2023-07-20T00:00:00"/>
    <n v="999.96"/>
    <x v="3"/>
  </r>
  <r>
    <s v="TRX0080"/>
    <x v="50"/>
    <x v="17"/>
    <s v="Barbara Young"/>
    <s v="P009"/>
    <x v="0"/>
    <x v="0"/>
    <n v="2"/>
    <n v="249.99"/>
    <s v="Cash"/>
    <x v="2"/>
    <s v="Premium"/>
    <d v="2023-08-26T00:00:00"/>
    <n v="499.98"/>
    <x v="3"/>
  </r>
  <r>
    <s v="TRX0228"/>
    <x v="50"/>
    <x v="29"/>
    <s v="Daniel King"/>
    <s v="P007"/>
    <x v="6"/>
    <x v="2"/>
    <n v="1"/>
    <n v="299.99"/>
    <s v="Cash"/>
    <x v="1"/>
    <s v="Basic"/>
    <d v="2023-02-25T00:00:00"/>
    <n v="299.99"/>
    <x v="3"/>
  </r>
  <r>
    <s v="TRX0157"/>
    <x v="51"/>
    <x v="14"/>
    <s v="Mark Carter"/>
    <s v="P010"/>
    <x v="8"/>
    <x v="0"/>
    <n v="2"/>
    <n v="89.99"/>
    <s v="PayPal"/>
    <x v="1"/>
    <s v="Basic"/>
    <d v="2023-02-19T00:00:00"/>
    <n v="179.98"/>
    <x v="3"/>
  </r>
  <r>
    <s v="TRX0002"/>
    <x v="51"/>
    <x v="29"/>
    <s v="Daniel King"/>
    <s v="P007"/>
    <x v="6"/>
    <x v="2"/>
    <n v="3"/>
    <n v="299.99"/>
    <s v="Cash"/>
    <x v="0"/>
    <s v="Basic"/>
    <d v="2022-06-20T00:00:00"/>
    <n v="899.97"/>
    <x v="3"/>
  </r>
  <r>
    <s v="TRX0217"/>
    <x v="52"/>
    <x v="14"/>
    <s v="Mark Carter"/>
    <s v="P002"/>
    <x v="5"/>
    <x v="0"/>
    <n v="2"/>
    <n v="699.99"/>
    <s v="Credit Card"/>
    <x v="2"/>
    <s v="Premium"/>
    <d v="2023-03-14T00:00:00"/>
    <n v="1399.98"/>
    <x v="3"/>
  </r>
  <r>
    <s v="TRX0249"/>
    <x v="53"/>
    <x v="22"/>
    <s v="Helen Roberts"/>
    <s v="P001"/>
    <x v="4"/>
    <x v="0"/>
    <n v="4"/>
    <n v="899.99"/>
    <s v="Debit Card"/>
    <x v="1"/>
    <s v="Standard"/>
    <d v="2021-11-23T00:00:00"/>
    <n v="3599.96"/>
    <x v="3"/>
  </r>
  <r>
    <s v="TRX0065"/>
    <x v="54"/>
    <x v="39"/>
    <s v="Elizabeth Hall"/>
    <s v="P008"/>
    <x v="2"/>
    <x v="2"/>
    <n v="2"/>
    <n v="149.99"/>
    <s v="Credit Card"/>
    <x v="3"/>
    <s v="Basic"/>
    <d v="2021-12-12T00:00:00"/>
    <n v="299.98"/>
    <x v="4"/>
  </r>
  <r>
    <s v="TRX0176"/>
    <x v="55"/>
    <x v="19"/>
    <s v="Cynthia Price"/>
    <s v="P008"/>
    <x v="2"/>
    <x v="2"/>
    <n v="2"/>
    <n v="149.99"/>
    <s v="Debit Card"/>
    <x v="4"/>
    <s v="Standard"/>
    <d v="2022-04-16T00:00:00"/>
    <n v="299.98"/>
    <x v="4"/>
  </r>
  <r>
    <s v="TRX0101"/>
    <x v="56"/>
    <x v="15"/>
    <s v="Maria Garcia"/>
    <s v="P010"/>
    <x v="8"/>
    <x v="0"/>
    <n v="1"/>
    <n v="89.99"/>
    <s v="Credit Card"/>
    <x v="2"/>
    <s v="Standard"/>
    <d v="2024-04-11T00:00:00"/>
    <n v="89.99"/>
    <x v="4"/>
  </r>
  <r>
    <s v="TRX0205"/>
    <x v="57"/>
    <x v="14"/>
    <s v="Mark Carter"/>
    <s v="P007"/>
    <x v="6"/>
    <x v="2"/>
    <n v="5"/>
    <n v="299.99"/>
    <s v="Credit Card"/>
    <x v="2"/>
    <s v="Basic"/>
    <d v="2023-02-08T00:00:00"/>
    <n v="1499.95"/>
    <x v="4"/>
  </r>
  <r>
    <s v="TRX0020"/>
    <x v="58"/>
    <x v="35"/>
    <s v="David Martinez"/>
    <s v="P003"/>
    <x v="3"/>
    <x v="0"/>
    <n v="4"/>
    <n v="149.99"/>
    <s v="Debit Card"/>
    <x v="1"/>
    <s v="Premium"/>
    <d v="2022-09-16T00:00:00"/>
    <n v="599.96"/>
    <x v="4"/>
  </r>
  <r>
    <s v="TRX0075"/>
    <x v="58"/>
    <x v="36"/>
    <s v="Margaret Wright"/>
    <s v="P009"/>
    <x v="0"/>
    <x v="0"/>
    <n v="5"/>
    <n v="249.99"/>
    <s v="PayPal"/>
    <x v="4"/>
    <s v="Premium"/>
    <d v="2022-08-09T00:00:00"/>
    <n v="1249.95"/>
    <x v="4"/>
  </r>
  <r>
    <s v="TRX0098"/>
    <x v="58"/>
    <x v="8"/>
    <s v="Karen Hill"/>
    <s v="P009"/>
    <x v="0"/>
    <x v="0"/>
    <n v="3"/>
    <n v="249.99"/>
    <s v="PayPal"/>
    <x v="2"/>
    <s v="Premium"/>
    <d v="2021-09-26T00:00:00"/>
    <n v="749.97"/>
    <x v="4"/>
  </r>
  <r>
    <s v="TRX0247"/>
    <x v="58"/>
    <x v="3"/>
    <s v="Kathleen Bennett"/>
    <s v="P006"/>
    <x v="9"/>
    <x v="2"/>
    <n v="4"/>
    <n v="199.99"/>
    <s v="Cash"/>
    <x v="2"/>
    <s v="Standard"/>
    <d v="2021-09-19T00:00:00"/>
    <n v="799.96"/>
    <x v="4"/>
  </r>
  <r>
    <s v="TRX0027"/>
    <x v="59"/>
    <x v="32"/>
    <s v="Betty Campbell"/>
    <s v="P006"/>
    <x v="9"/>
    <x v="2"/>
    <n v="5"/>
    <n v="199.99"/>
    <s v="Cash"/>
    <x v="2"/>
    <s v="Premium"/>
    <d v="2023-03-06T00:00:00"/>
    <n v="999.95"/>
    <x v="4"/>
  </r>
  <r>
    <s v="TRX0140"/>
    <x v="60"/>
    <x v="14"/>
    <s v="Mark Carter"/>
    <s v="P010"/>
    <x v="8"/>
    <x v="0"/>
    <n v="2"/>
    <n v="89.99"/>
    <s v="Cash"/>
    <x v="4"/>
    <s v="Premium"/>
    <d v="2023-02-15T00:00:00"/>
    <n v="179.98"/>
    <x v="4"/>
  </r>
  <r>
    <s v="TRX0132"/>
    <x v="61"/>
    <x v="38"/>
    <s v="Gerald Murphy"/>
    <s v="P001"/>
    <x v="4"/>
    <x v="0"/>
    <n v="5"/>
    <n v="899.99"/>
    <s v="Debit Card"/>
    <x v="4"/>
    <s v="Basic"/>
    <d v="2021-11-26T00:00:00"/>
    <n v="4499.95"/>
    <x v="4"/>
  </r>
  <r>
    <s v="TRX0031"/>
    <x v="61"/>
    <x v="20"/>
    <s v="Nancy Collins"/>
    <s v="P003"/>
    <x v="3"/>
    <x v="0"/>
    <n v="3"/>
    <n v="149.99"/>
    <s v="PayPal"/>
    <x v="4"/>
    <s v="Basic"/>
    <d v="2022-01-13T00:00:00"/>
    <n v="449.97"/>
    <x v="4"/>
  </r>
  <r>
    <s v="TRX0236"/>
    <x v="62"/>
    <x v="19"/>
    <s v="Cynthia Price"/>
    <s v="P008"/>
    <x v="2"/>
    <x v="2"/>
    <n v="5"/>
    <n v="149.99"/>
    <s v="Credit Card"/>
    <x v="0"/>
    <s v="Basic"/>
    <d v="2024-01-19T00:00:00"/>
    <n v="749.95"/>
    <x v="4"/>
  </r>
  <r>
    <s v="TRX0001"/>
    <x v="63"/>
    <x v="40"/>
    <s v="Lawrence Reed"/>
    <s v="P004"/>
    <x v="7"/>
    <x v="1"/>
    <n v="3"/>
    <n v="79.989999999999995"/>
    <s v="Cash"/>
    <x v="0"/>
    <s v="Premium"/>
    <d v="2022-08-06T00:00:00"/>
    <n v="239.97"/>
    <x v="4"/>
  </r>
  <r>
    <s v="TRX0037"/>
    <x v="63"/>
    <x v="28"/>
    <s v="Harry Morgan"/>
    <s v="P009"/>
    <x v="0"/>
    <x v="0"/>
    <n v="2"/>
    <n v="249.99"/>
    <s v="Cash"/>
    <x v="1"/>
    <s v="Standard"/>
    <d v="2022-01-11T00:00:00"/>
    <n v="499.98"/>
    <x v="4"/>
  </r>
  <r>
    <s v="TRX0058"/>
    <x v="64"/>
    <x v="38"/>
    <s v="Gerald Murphy"/>
    <s v="P002"/>
    <x v="5"/>
    <x v="0"/>
    <n v="1"/>
    <n v="699.99"/>
    <s v="Cash"/>
    <x v="0"/>
    <s v="Premium"/>
    <d v="2021-10-28T00:00:00"/>
    <n v="699.99"/>
    <x v="4"/>
  </r>
  <r>
    <s v="TRX0170"/>
    <x v="64"/>
    <x v="41"/>
    <s v="Carol Evans"/>
    <s v="P003"/>
    <x v="3"/>
    <x v="0"/>
    <n v="3"/>
    <n v="149.99"/>
    <s v="Cash"/>
    <x v="3"/>
    <s v="Premium"/>
    <d v="2023-10-13T00:00:00"/>
    <n v="449.97"/>
    <x v="4"/>
  </r>
  <r>
    <s v="TRX0248"/>
    <x v="65"/>
    <x v="42"/>
    <s v="Sandra Phillips"/>
    <s v="P002"/>
    <x v="5"/>
    <x v="0"/>
    <n v="2"/>
    <n v="699.99"/>
    <s v="Credit Card"/>
    <x v="2"/>
    <s v="Premium"/>
    <d v="2021-08-13T00:00:00"/>
    <n v="1399.98"/>
    <x v="4"/>
  </r>
  <r>
    <s v="TRX0099"/>
    <x v="66"/>
    <x v="41"/>
    <s v="Carol Evans"/>
    <s v="P009"/>
    <x v="0"/>
    <x v="0"/>
    <n v="1"/>
    <n v="249.99"/>
    <s v="Credit Card"/>
    <x v="3"/>
    <s v="Premium"/>
    <d v="2022-05-04T00:00:00"/>
    <n v="249.99"/>
    <x v="5"/>
  </r>
  <r>
    <s v="TRX0074"/>
    <x v="66"/>
    <x v="0"/>
    <s v="Paul Baker"/>
    <s v="P009"/>
    <x v="0"/>
    <x v="0"/>
    <n v="1"/>
    <n v="249.99"/>
    <s v="Debit Card"/>
    <x v="2"/>
    <s v="Premium"/>
    <d v="2024-02-10T00:00:00"/>
    <n v="249.99"/>
    <x v="5"/>
  </r>
  <r>
    <s v="TRX0225"/>
    <x v="67"/>
    <x v="40"/>
    <s v="Lawrence Reed"/>
    <s v="P002"/>
    <x v="5"/>
    <x v="0"/>
    <n v="2"/>
    <n v="699.99"/>
    <s v="Debit Card"/>
    <x v="0"/>
    <s v="Premium"/>
    <d v="2022-11-05T00:00:00"/>
    <n v="1399.98"/>
    <x v="5"/>
  </r>
  <r>
    <s v="TRX0100"/>
    <x v="68"/>
    <x v="26"/>
    <s v="Steven Turner"/>
    <s v="P005"/>
    <x v="1"/>
    <x v="1"/>
    <n v="3"/>
    <n v="59.99"/>
    <s v="Credit Card"/>
    <x v="0"/>
    <s v="Premium"/>
    <d v="2022-06-05T00:00:00"/>
    <n v="179.97"/>
    <x v="5"/>
  </r>
  <r>
    <s v="TRX0142"/>
    <x v="69"/>
    <x v="25"/>
    <s v="Emma Wilson"/>
    <s v="P005"/>
    <x v="1"/>
    <x v="1"/>
    <n v="3"/>
    <n v="59.99"/>
    <s v="PayPal"/>
    <x v="4"/>
    <s v="Standard"/>
    <d v="2022-07-06T00:00:00"/>
    <n v="179.97"/>
    <x v="5"/>
  </r>
  <r>
    <s v="TRX0112"/>
    <x v="69"/>
    <x v="27"/>
    <s v="Jennifer Taylor"/>
    <s v="P004"/>
    <x v="7"/>
    <x v="1"/>
    <n v="4"/>
    <n v="79.989999999999995"/>
    <s v="Cash"/>
    <x v="2"/>
    <s v="Basic"/>
    <d v="2021-11-30T00:00:00"/>
    <n v="319.95999999999998"/>
    <x v="5"/>
  </r>
  <r>
    <s v="TRX0161"/>
    <x v="70"/>
    <x v="6"/>
    <s v="Charles Allen"/>
    <s v="P004"/>
    <x v="7"/>
    <x v="1"/>
    <n v="1"/>
    <n v="79.989999999999995"/>
    <s v="Cash"/>
    <x v="3"/>
    <s v="Basic"/>
    <d v="2022-05-12T00:00:00"/>
    <n v="79.989999999999995"/>
    <x v="5"/>
  </r>
  <r>
    <s v="TRX0108"/>
    <x v="71"/>
    <x v="5"/>
    <s v="Dorothy Nelson"/>
    <s v="P007"/>
    <x v="6"/>
    <x v="2"/>
    <n v="3"/>
    <n v="299.99"/>
    <s v="Credit Card"/>
    <x v="0"/>
    <s v="Premium"/>
    <d v="2021-10-25T00:00:00"/>
    <n v="899.97"/>
    <x v="5"/>
  </r>
  <r>
    <s v="TRX0211"/>
    <x v="72"/>
    <x v="3"/>
    <s v="Kathleen Bennett"/>
    <s v="P010"/>
    <x v="8"/>
    <x v="0"/>
    <n v="2"/>
    <n v="89.99"/>
    <s v="Credit Card"/>
    <x v="1"/>
    <s v="Premium"/>
    <d v="2022-03-21T00:00:00"/>
    <n v="179.98"/>
    <x v="5"/>
  </r>
  <r>
    <s v="TRX0005"/>
    <x v="73"/>
    <x v="43"/>
    <s v="Ruth Brooks"/>
    <s v="P003"/>
    <x v="3"/>
    <x v="0"/>
    <n v="4"/>
    <n v="149.99"/>
    <s v="Cash"/>
    <x v="2"/>
    <s v="Basic"/>
    <d v="2022-12-14T00:00:00"/>
    <n v="599.96"/>
    <x v="5"/>
  </r>
  <r>
    <s v="TRX0195"/>
    <x v="74"/>
    <x v="8"/>
    <s v="Karen Hill"/>
    <s v="P009"/>
    <x v="0"/>
    <x v="0"/>
    <n v="2"/>
    <n v="249.99"/>
    <s v="PayPal"/>
    <x v="1"/>
    <s v="Basic"/>
    <d v="2023-03-08T00:00:00"/>
    <n v="499.98"/>
    <x v="5"/>
  </r>
  <r>
    <s v="TRX0054"/>
    <x v="74"/>
    <x v="31"/>
    <s v="Sarah Davis"/>
    <s v="P006"/>
    <x v="9"/>
    <x v="2"/>
    <n v="4"/>
    <n v="199.99"/>
    <s v="Debit Card"/>
    <x v="4"/>
    <s v="Basic"/>
    <d v="2021-09-19T00:00:00"/>
    <n v="799.96"/>
    <x v="5"/>
  </r>
  <r>
    <s v="TRX0077"/>
    <x v="75"/>
    <x v="29"/>
    <s v="Daniel King"/>
    <s v="P010"/>
    <x v="8"/>
    <x v="0"/>
    <n v="5"/>
    <n v="89.99"/>
    <s v="Credit Card"/>
    <x v="4"/>
    <s v="Premium"/>
    <d v="2021-09-07T00:00:00"/>
    <n v="449.95"/>
    <x v="5"/>
  </r>
  <r>
    <s v="TRX0111"/>
    <x v="75"/>
    <x v="44"/>
    <s v="William White"/>
    <s v="P003"/>
    <x v="3"/>
    <x v="0"/>
    <n v="1"/>
    <n v="149.99"/>
    <s v="PayPal"/>
    <x v="4"/>
    <s v="Standard"/>
    <d v="2021-10-13T00:00:00"/>
    <n v="149.99"/>
    <x v="5"/>
  </r>
  <r>
    <s v="TRX0123"/>
    <x v="75"/>
    <x v="10"/>
    <s v="Peter Richardson"/>
    <s v="P002"/>
    <x v="5"/>
    <x v="0"/>
    <n v="4"/>
    <n v="699.99"/>
    <s v="PayPal"/>
    <x v="1"/>
    <s v="Basic"/>
    <d v="2022-02-26T00:00:00"/>
    <n v="2799.96"/>
    <x v="5"/>
  </r>
  <r>
    <s v="TRX0177"/>
    <x v="76"/>
    <x v="42"/>
    <s v="Sandra Phillips"/>
    <s v="P001"/>
    <x v="4"/>
    <x v="0"/>
    <n v="3"/>
    <n v="899.99"/>
    <s v="Credit Card"/>
    <x v="2"/>
    <s v="Standard"/>
    <d v="2023-08-19T00:00:00"/>
    <n v="2699.97"/>
    <x v="5"/>
  </r>
  <r>
    <s v="TRX0119"/>
    <x v="77"/>
    <x v="21"/>
    <s v="Linda Martin"/>
    <s v="P008"/>
    <x v="2"/>
    <x v="2"/>
    <n v="3"/>
    <n v="149.99"/>
    <s v="PayPal"/>
    <x v="4"/>
    <s v="Basic"/>
    <d v="2022-11-21T00:00:00"/>
    <n v="449.97"/>
    <x v="5"/>
  </r>
  <r>
    <s v="TRX0181"/>
    <x v="78"/>
    <x v="18"/>
    <s v="Patricia Moore"/>
    <s v="P007"/>
    <x v="6"/>
    <x v="2"/>
    <n v="2"/>
    <n v="299.99"/>
    <s v="Debit Card"/>
    <x v="0"/>
    <s v="Basic"/>
    <d v="2022-01-08T00:00:00"/>
    <n v="599.98"/>
    <x v="5"/>
  </r>
  <r>
    <s v="TRX0129"/>
    <x v="79"/>
    <x v="45"/>
    <s v="Richard Lee"/>
    <s v="P006"/>
    <x v="9"/>
    <x v="2"/>
    <n v="1"/>
    <n v="199.99"/>
    <s v="Debit Card"/>
    <x v="4"/>
    <s v="Standard"/>
    <d v="2023-01-27T00:00:00"/>
    <n v="199.99"/>
    <x v="5"/>
  </r>
  <r>
    <s v="TRX0174"/>
    <x v="80"/>
    <x v="4"/>
    <s v="Michael Brown"/>
    <s v="P007"/>
    <x v="6"/>
    <x v="2"/>
    <n v="4"/>
    <n v="299.99"/>
    <s v="Cash"/>
    <x v="0"/>
    <s v="Premium"/>
    <d v="2021-09-21T00:00:00"/>
    <n v="1199.96"/>
    <x v="6"/>
  </r>
  <r>
    <s v="TRX0146"/>
    <x v="81"/>
    <x v="15"/>
    <s v="Maria Garcia"/>
    <s v="P005"/>
    <x v="1"/>
    <x v="1"/>
    <n v="2"/>
    <n v="59.99"/>
    <s v="Credit Card"/>
    <x v="0"/>
    <s v="Basic"/>
    <d v="2022-01-18T00:00:00"/>
    <n v="119.98"/>
    <x v="6"/>
  </r>
  <r>
    <s v="TRX0203"/>
    <x v="81"/>
    <x v="42"/>
    <s v="Sandra Phillips"/>
    <s v="P003"/>
    <x v="3"/>
    <x v="0"/>
    <n v="4"/>
    <n v="149.99"/>
    <s v="Credit Card"/>
    <x v="2"/>
    <s v="Premium"/>
    <d v="2023-05-30T00:00:00"/>
    <n v="599.96"/>
    <x v="6"/>
  </r>
  <r>
    <s v="TRX0055"/>
    <x v="82"/>
    <x v="39"/>
    <s v="Elizabeth Hall"/>
    <s v="P002"/>
    <x v="5"/>
    <x v="0"/>
    <n v="2"/>
    <n v="699.99"/>
    <s v="Debit Card"/>
    <x v="4"/>
    <s v="Premium"/>
    <d v="2023-12-14T00:00:00"/>
    <n v="1399.98"/>
    <x v="6"/>
  </r>
  <r>
    <s v="TRX0218"/>
    <x v="82"/>
    <x v="41"/>
    <s v="Carol Evans"/>
    <s v="P008"/>
    <x v="2"/>
    <x v="2"/>
    <n v="3"/>
    <n v="149.99"/>
    <s v="Credit Card"/>
    <x v="1"/>
    <s v="Standard"/>
    <d v="2023-01-14T00:00:00"/>
    <n v="449.97"/>
    <x v="6"/>
  </r>
  <r>
    <s v="TRX0085"/>
    <x v="83"/>
    <x v="29"/>
    <s v="Daniel King"/>
    <s v="P007"/>
    <x v="6"/>
    <x v="2"/>
    <n v="3"/>
    <n v="299.99"/>
    <s v="Credit Card"/>
    <x v="0"/>
    <s v="Standard"/>
    <d v="2023-09-05T00:00:00"/>
    <n v="899.97"/>
    <x v="6"/>
  </r>
  <r>
    <s v="TRX0158"/>
    <x v="84"/>
    <x v="13"/>
    <s v="George Adams"/>
    <s v="P001"/>
    <x v="4"/>
    <x v="0"/>
    <n v="3"/>
    <n v="899.99"/>
    <s v="PayPal"/>
    <x v="3"/>
    <s v="Basic"/>
    <d v="2023-10-16T00:00:00"/>
    <n v="2699.97"/>
    <x v="6"/>
  </r>
  <r>
    <s v="TRX0173"/>
    <x v="85"/>
    <x v="17"/>
    <s v="Barbara Young"/>
    <s v="P002"/>
    <x v="5"/>
    <x v="0"/>
    <n v="5"/>
    <n v="699.99"/>
    <s v="Cash"/>
    <x v="4"/>
    <s v="Standard"/>
    <d v="2023-03-23T00:00:00"/>
    <n v="3499.95"/>
    <x v="6"/>
  </r>
  <r>
    <s v="TRX0034"/>
    <x v="85"/>
    <x v="34"/>
    <s v="Raymond Ross"/>
    <s v="P002"/>
    <x v="5"/>
    <x v="0"/>
    <n v="4"/>
    <n v="699.99"/>
    <s v="Credit Card"/>
    <x v="0"/>
    <s v="Basic"/>
    <d v="2024-04-03T00:00:00"/>
    <n v="2799.96"/>
    <x v="6"/>
  </r>
  <r>
    <s v="TRX0189"/>
    <x v="85"/>
    <x v="30"/>
    <s v="Sharon Butler"/>
    <s v="P001"/>
    <x v="4"/>
    <x v="0"/>
    <n v="1"/>
    <n v="899.99"/>
    <s v="Credit Card"/>
    <x v="4"/>
    <s v="Standard"/>
    <d v="2024-03-18T00:00:00"/>
    <n v="899.99"/>
    <x v="6"/>
  </r>
  <r>
    <s v="TRX0190"/>
    <x v="86"/>
    <x v="40"/>
    <s v="Lawrence Reed"/>
    <s v="P003"/>
    <x v="3"/>
    <x v="0"/>
    <n v="2"/>
    <n v="149.99"/>
    <s v="Credit Card"/>
    <x v="3"/>
    <s v="Basic"/>
    <d v="2022-12-21T00:00:00"/>
    <n v="299.98"/>
    <x v="6"/>
  </r>
  <r>
    <s v="TRX0079"/>
    <x v="87"/>
    <x v="40"/>
    <s v="Lawrence Reed"/>
    <s v="P010"/>
    <x v="8"/>
    <x v="0"/>
    <n v="3"/>
    <n v="89.99"/>
    <s v="PayPal"/>
    <x v="0"/>
    <s v="Basic"/>
    <d v="2021-12-21T00:00:00"/>
    <n v="269.97000000000003"/>
    <x v="6"/>
  </r>
  <r>
    <s v="TRX0095"/>
    <x v="88"/>
    <x v="3"/>
    <s v="Kathleen Bennett"/>
    <s v="P003"/>
    <x v="3"/>
    <x v="0"/>
    <n v="2"/>
    <n v="149.99"/>
    <s v="PayPal"/>
    <x v="0"/>
    <s v="Basic"/>
    <d v="2021-10-04T00:00:00"/>
    <n v="299.98"/>
    <x v="6"/>
  </r>
  <r>
    <s v="TRX0009"/>
    <x v="88"/>
    <x v="31"/>
    <s v="Sarah Davis"/>
    <s v="P002"/>
    <x v="5"/>
    <x v="0"/>
    <n v="2"/>
    <n v="699.99"/>
    <s v="Cash"/>
    <x v="0"/>
    <s v="Basic"/>
    <d v="2023-03-07T00:00:00"/>
    <n v="1399.98"/>
    <x v="6"/>
  </r>
  <r>
    <s v="TRX0167"/>
    <x v="89"/>
    <x v="32"/>
    <s v="Betty Campbell"/>
    <s v="P002"/>
    <x v="5"/>
    <x v="0"/>
    <n v="5"/>
    <n v="699.99"/>
    <s v="Cash"/>
    <x v="2"/>
    <s v="Premium"/>
    <d v="2022-03-15T00:00:00"/>
    <n v="3499.95"/>
    <x v="6"/>
  </r>
  <r>
    <s v="TRX0153"/>
    <x v="90"/>
    <x v="34"/>
    <s v="Raymond Ross"/>
    <s v="P010"/>
    <x v="8"/>
    <x v="0"/>
    <n v="3"/>
    <n v="89.99"/>
    <s v="Credit Card"/>
    <x v="2"/>
    <s v="Standard"/>
    <d v="2022-02-23T00:00:00"/>
    <n v="269.97000000000003"/>
    <x v="6"/>
  </r>
  <r>
    <s v="TRX0057"/>
    <x v="91"/>
    <x v="0"/>
    <s v="Paul Baker"/>
    <s v="P009"/>
    <x v="0"/>
    <x v="0"/>
    <n v="5"/>
    <n v="249.99"/>
    <s v="Credit Card"/>
    <x v="1"/>
    <s v="Standard"/>
    <d v="2022-11-16T00:00:00"/>
    <n v="1249.95"/>
    <x v="7"/>
  </r>
  <r>
    <s v="TRX0017"/>
    <x v="92"/>
    <x v="8"/>
    <s v="Karen Hill"/>
    <s v="P007"/>
    <x v="6"/>
    <x v="2"/>
    <n v="3"/>
    <n v="299.99"/>
    <s v="Credit Card"/>
    <x v="1"/>
    <s v="Standard"/>
    <d v="2021-11-02T00:00:00"/>
    <n v="899.97"/>
    <x v="7"/>
  </r>
  <r>
    <s v="TRX0060"/>
    <x v="93"/>
    <x v="18"/>
    <s v="Patricia Moore"/>
    <s v="P010"/>
    <x v="8"/>
    <x v="0"/>
    <n v="3"/>
    <n v="89.99"/>
    <s v="Credit Card"/>
    <x v="2"/>
    <s v="Premium"/>
    <d v="2021-08-12T00:00:00"/>
    <n v="269.97000000000003"/>
    <x v="7"/>
  </r>
  <r>
    <s v="TRX0109"/>
    <x v="94"/>
    <x v="15"/>
    <s v="Maria Garcia"/>
    <s v="P008"/>
    <x v="2"/>
    <x v="2"/>
    <n v="2"/>
    <n v="149.99"/>
    <s v="Credit Card"/>
    <x v="3"/>
    <s v="Premium"/>
    <d v="2022-10-14T00:00:00"/>
    <n v="299.98"/>
    <x v="7"/>
  </r>
  <r>
    <s v="TRX0090"/>
    <x v="95"/>
    <x v="36"/>
    <s v="Margaret Wright"/>
    <s v="P009"/>
    <x v="0"/>
    <x v="0"/>
    <n v="1"/>
    <n v="249.99"/>
    <s v="Credit Card"/>
    <x v="2"/>
    <s v="Premium"/>
    <d v="2022-09-24T00:00:00"/>
    <n v="249.99"/>
    <x v="7"/>
  </r>
  <r>
    <s v="TRX0035"/>
    <x v="96"/>
    <x v="10"/>
    <s v="Peter Richardson"/>
    <s v="P003"/>
    <x v="3"/>
    <x v="0"/>
    <n v="3"/>
    <n v="149.99"/>
    <s v="Cash"/>
    <x v="2"/>
    <s v="Basic"/>
    <d v="2022-07-27T00:00:00"/>
    <n v="449.97"/>
    <x v="7"/>
  </r>
  <r>
    <s v="TRX0172"/>
    <x v="96"/>
    <x v="0"/>
    <s v="Paul Baker"/>
    <s v="P005"/>
    <x v="1"/>
    <x v="1"/>
    <n v="5"/>
    <n v="59.99"/>
    <s v="PayPal"/>
    <x v="3"/>
    <s v="Premium"/>
    <d v="2022-05-13T00:00:00"/>
    <n v="299.95"/>
    <x v="7"/>
  </r>
  <r>
    <s v="TRX0076"/>
    <x v="96"/>
    <x v="18"/>
    <s v="Patricia Moore"/>
    <s v="P009"/>
    <x v="0"/>
    <x v="0"/>
    <n v="4"/>
    <n v="249.99"/>
    <s v="Credit Card"/>
    <x v="3"/>
    <s v="Standard"/>
    <d v="2022-04-08T00:00:00"/>
    <n v="999.96"/>
    <x v="7"/>
  </r>
  <r>
    <s v="TRX0210"/>
    <x v="97"/>
    <x v="31"/>
    <s v="Sarah Davis"/>
    <s v="P008"/>
    <x v="2"/>
    <x v="2"/>
    <n v="5"/>
    <n v="149.99"/>
    <s v="PayPal"/>
    <x v="0"/>
    <s v="Basic"/>
    <d v="2022-12-06T00:00:00"/>
    <n v="749.95"/>
    <x v="7"/>
  </r>
  <r>
    <s v="TRX0149"/>
    <x v="97"/>
    <x v="13"/>
    <s v="George Adams"/>
    <s v="P005"/>
    <x v="1"/>
    <x v="1"/>
    <n v="3"/>
    <n v="59.99"/>
    <s v="Debit Card"/>
    <x v="1"/>
    <s v="Standard"/>
    <d v="2023-11-30T00:00:00"/>
    <n v="179.97"/>
    <x v="7"/>
  </r>
  <r>
    <s v="TRX0073"/>
    <x v="98"/>
    <x v="42"/>
    <s v="Sandra Phillips"/>
    <s v="P008"/>
    <x v="2"/>
    <x v="2"/>
    <n v="5"/>
    <n v="149.99"/>
    <s v="Cash"/>
    <x v="2"/>
    <s v="Basic"/>
    <d v="2022-11-04T00:00:00"/>
    <n v="749.95"/>
    <x v="7"/>
  </r>
  <r>
    <s v="TRX0033"/>
    <x v="98"/>
    <x v="14"/>
    <s v="Mark Carter"/>
    <s v="P002"/>
    <x v="5"/>
    <x v="0"/>
    <n v="2"/>
    <n v="699.99"/>
    <s v="PayPal"/>
    <x v="3"/>
    <s v="Standard"/>
    <d v="2022-07-28T00:00:00"/>
    <n v="1399.98"/>
    <x v="7"/>
  </r>
  <r>
    <s v="TRX0160"/>
    <x v="99"/>
    <x v="23"/>
    <s v="Edward Mitchell"/>
    <s v="P006"/>
    <x v="9"/>
    <x v="2"/>
    <n v="4"/>
    <n v="199.99"/>
    <s v="Debit Card"/>
    <x v="0"/>
    <s v="Premium"/>
    <d v="2021-08-19T00:00:00"/>
    <n v="799.96"/>
    <x v="7"/>
  </r>
  <r>
    <s v="TRX0145"/>
    <x v="100"/>
    <x v="37"/>
    <s v="Frank Torres"/>
    <s v="P005"/>
    <x v="1"/>
    <x v="1"/>
    <n v="1"/>
    <n v="59.99"/>
    <s v="Debit Card"/>
    <x v="3"/>
    <s v="Standard"/>
    <d v="2021-12-30T00:00:00"/>
    <n v="59.99"/>
    <x v="7"/>
  </r>
  <r>
    <s v="TRX0148"/>
    <x v="100"/>
    <x v="31"/>
    <s v="Sarah Davis"/>
    <s v="P002"/>
    <x v="5"/>
    <x v="0"/>
    <n v="3"/>
    <n v="699.99"/>
    <s v="PayPal"/>
    <x v="3"/>
    <s v="Standard"/>
    <d v="2022-01-22T00:00:00"/>
    <n v="2099.9699999999998"/>
    <x v="7"/>
  </r>
  <r>
    <s v="TRX0012"/>
    <x v="101"/>
    <x v="46"/>
    <s v="Douglas Watson"/>
    <s v="P009"/>
    <x v="0"/>
    <x v="0"/>
    <n v="5"/>
    <n v="249.99"/>
    <s v="Credit Card"/>
    <x v="2"/>
    <s v="Basic"/>
    <d v="2022-11-08T00:00:00"/>
    <n v="1249.95"/>
    <x v="7"/>
  </r>
  <r>
    <s v="TRX0206"/>
    <x v="102"/>
    <x v="21"/>
    <s v="Linda Martin"/>
    <s v="P008"/>
    <x v="2"/>
    <x v="2"/>
    <n v="2"/>
    <n v="149.99"/>
    <s v="Cash"/>
    <x v="1"/>
    <s v="Standard"/>
    <d v="2023-06-24T00:00:00"/>
    <n v="299.98"/>
    <x v="7"/>
  </r>
  <r>
    <s v="TRX0045"/>
    <x v="103"/>
    <x v="2"/>
    <s v="Kevin Scott"/>
    <s v="P007"/>
    <x v="6"/>
    <x v="2"/>
    <n v="3"/>
    <n v="299.99"/>
    <s v="Cash"/>
    <x v="1"/>
    <s v="Premium"/>
    <d v="2022-04-08T00:00:00"/>
    <n v="899.97"/>
    <x v="8"/>
  </r>
  <r>
    <s v="TRX0094"/>
    <x v="103"/>
    <x v="6"/>
    <s v="Charles Allen"/>
    <s v="P009"/>
    <x v="0"/>
    <x v="0"/>
    <n v="5"/>
    <n v="249.99"/>
    <s v="Cash"/>
    <x v="0"/>
    <s v="Premium"/>
    <d v="2021-10-16T00:00:00"/>
    <n v="1249.95"/>
    <x v="8"/>
  </r>
  <r>
    <s v="TRX0133"/>
    <x v="103"/>
    <x v="1"/>
    <s v="Joseph Jackson"/>
    <s v="P003"/>
    <x v="3"/>
    <x v="0"/>
    <n v="2"/>
    <n v="149.99"/>
    <s v="Cash"/>
    <x v="1"/>
    <s v="Premium"/>
    <d v="2021-10-06T00:00:00"/>
    <n v="299.98"/>
    <x v="8"/>
  </r>
  <r>
    <s v="TRX0201"/>
    <x v="103"/>
    <x v="14"/>
    <s v="Mark Carter"/>
    <s v="P002"/>
    <x v="5"/>
    <x v="0"/>
    <n v="5"/>
    <n v="699.99"/>
    <s v="Debit Card"/>
    <x v="3"/>
    <s v="Standard"/>
    <d v="2023-01-18T00:00:00"/>
    <n v="3499.95"/>
    <x v="8"/>
  </r>
  <r>
    <s v="TRX0137"/>
    <x v="104"/>
    <x v="44"/>
    <s v="William White"/>
    <s v="P009"/>
    <x v="0"/>
    <x v="0"/>
    <n v="4"/>
    <n v="249.99"/>
    <s v="PayPal"/>
    <x v="4"/>
    <s v="Premium"/>
    <d v="2023-06-21T00:00:00"/>
    <n v="999.96"/>
    <x v="8"/>
  </r>
  <r>
    <s v="TRX0066"/>
    <x v="105"/>
    <x v="5"/>
    <s v="Dorothy Nelson"/>
    <s v="P002"/>
    <x v="5"/>
    <x v="0"/>
    <n v="4"/>
    <n v="699.99"/>
    <s v="Credit Card"/>
    <x v="2"/>
    <s v="Premium"/>
    <d v="2022-05-22T00:00:00"/>
    <n v="2799.96"/>
    <x v="8"/>
  </r>
  <r>
    <s v="TRX0180"/>
    <x v="106"/>
    <x v="20"/>
    <s v="Nancy Collins"/>
    <s v="P009"/>
    <x v="0"/>
    <x v="0"/>
    <n v="2"/>
    <n v="249.99"/>
    <s v="Credit Card"/>
    <x v="0"/>
    <s v="Premium"/>
    <d v="2021-07-19T00:00:00"/>
    <n v="499.98"/>
    <x v="8"/>
  </r>
  <r>
    <s v="TRX0082"/>
    <x v="106"/>
    <x v="47"/>
    <s v="James Johnson"/>
    <s v="P005"/>
    <x v="1"/>
    <x v="1"/>
    <n v="3"/>
    <n v="59.99"/>
    <s v="Cash"/>
    <x v="0"/>
    <s v="Premium"/>
    <d v="2023-05-06T00:00:00"/>
    <n v="179.97"/>
    <x v="8"/>
  </r>
  <r>
    <s v="TRX0036"/>
    <x v="106"/>
    <x v="27"/>
    <s v="Jennifer Taylor"/>
    <s v="P004"/>
    <x v="7"/>
    <x v="1"/>
    <n v="4"/>
    <n v="79.989999999999995"/>
    <s v="Debit Card"/>
    <x v="4"/>
    <s v="Standard"/>
    <d v="2022-12-26T00:00:00"/>
    <n v="319.95999999999998"/>
    <x v="8"/>
  </r>
  <r>
    <s v="TRX0198"/>
    <x v="107"/>
    <x v="22"/>
    <s v="Helen Roberts"/>
    <s v="P004"/>
    <x v="7"/>
    <x v="1"/>
    <n v="3"/>
    <n v="79.989999999999995"/>
    <s v="Debit Card"/>
    <x v="4"/>
    <s v="Standard"/>
    <d v="2022-08-06T00:00:00"/>
    <n v="239.97"/>
    <x v="8"/>
  </r>
  <r>
    <s v="TRX0032"/>
    <x v="108"/>
    <x v="10"/>
    <s v="Peter Richardson"/>
    <s v="P001"/>
    <x v="4"/>
    <x v="0"/>
    <n v="2"/>
    <n v="899.99"/>
    <s v="Cash"/>
    <x v="2"/>
    <s v="Basic"/>
    <d v="2021-07-29T00:00:00"/>
    <n v="1799.98"/>
    <x v="8"/>
  </r>
  <r>
    <s v="TRX0081"/>
    <x v="109"/>
    <x v="35"/>
    <s v="David Martinez"/>
    <s v="P008"/>
    <x v="2"/>
    <x v="2"/>
    <n v="1"/>
    <n v="149.99"/>
    <s v="Debit Card"/>
    <x v="4"/>
    <s v="Standard"/>
    <d v="2023-10-01T00:00:00"/>
    <n v="149.99"/>
    <x v="8"/>
  </r>
  <r>
    <s v="TRX0224"/>
    <x v="109"/>
    <x v="26"/>
    <s v="Steven Turner"/>
    <s v="P007"/>
    <x v="6"/>
    <x v="2"/>
    <n v="2"/>
    <n v="299.99"/>
    <s v="Cash"/>
    <x v="4"/>
    <s v="Premium"/>
    <d v="2022-06-12T00:00:00"/>
    <n v="599.98"/>
    <x v="8"/>
  </r>
  <r>
    <s v="TRX0028"/>
    <x v="110"/>
    <x v="25"/>
    <s v="Emma Wilson"/>
    <s v="P005"/>
    <x v="1"/>
    <x v="1"/>
    <n v="2"/>
    <n v="59.99"/>
    <s v="Cash"/>
    <x v="3"/>
    <s v="Basic"/>
    <d v="2023-09-22T00:00:00"/>
    <n v="119.98"/>
    <x v="8"/>
  </r>
  <r>
    <s v="TRX0183"/>
    <x v="111"/>
    <x v="35"/>
    <s v="David Martinez"/>
    <s v="P010"/>
    <x v="8"/>
    <x v="0"/>
    <n v="1"/>
    <n v="89.99"/>
    <s v="Debit Card"/>
    <x v="0"/>
    <s v="Standard"/>
    <d v="2022-07-18T00:00:00"/>
    <n v="89.99"/>
    <x v="8"/>
  </r>
  <r>
    <s v="TRX0163"/>
    <x v="111"/>
    <x v="29"/>
    <s v="Daniel King"/>
    <s v="P001"/>
    <x v="4"/>
    <x v="0"/>
    <n v="5"/>
    <n v="899.99"/>
    <s v="Debit Card"/>
    <x v="4"/>
    <s v="Standard"/>
    <d v="2022-03-05T00:00:00"/>
    <n v="4499.95"/>
    <x v="8"/>
  </r>
  <r>
    <s v="TRX0046"/>
    <x v="112"/>
    <x v="4"/>
    <s v="Michael Brown"/>
    <s v="P008"/>
    <x v="2"/>
    <x v="2"/>
    <n v="2"/>
    <n v="149.99"/>
    <s v="Cash"/>
    <x v="1"/>
    <s v="Basic"/>
    <d v="2023-11-09T00:00:00"/>
    <n v="299.98"/>
    <x v="8"/>
  </r>
  <r>
    <s v="TRX0164"/>
    <x v="113"/>
    <x v="21"/>
    <s v="Linda Martin"/>
    <s v="P003"/>
    <x v="3"/>
    <x v="0"/>
    <n v="2"/>
    <n v="149.99"/>
    <s v="Debit Card"/>
    <x v="3"/>
    <s v="Premium"/>
    <d v="2023-12-20T00:00:00"/>
    <n v="299.98"/>
    <x v="8"/>
  </r>
  <r>
    <s v="TRX0008"/>
    <x v="113"/>
    <x v="35"/>
    <s v="David Martinez"/>
    <s v="P008"/>
    <x v="2"/>
    <x v="2"/>
    <n v="3"/>
    <n v="149.99"/>
    <s v="Debit Card"/>
    <x v="2"/>
    <s v="Standard"/>
    <d v="2021-11-22T00:00:00"/>
    <n v="449.97"/>
    <x v="8"/>
  </r>
  <r>
    <s v="TRX0171"/>
    <x v="114"/>
    <x v="2"/>
    <s v="Kevin Scott"/>
    <s v="P007"/>
    <x v="6"/>
    <x v="2"/>
    <n v="2"/>
    <n v="299.99"/>
    <s v="PayPal"/>
    <x v="1"/>
    <s v="Basic"/>
    <d v="2022-06-09T00:00:00"/>
    <n v="599.98"/>
    <x v="8"/>
  </r>
  <r>
    <s v="TRX0143"/>
    <x v="115"/>
    <x v="4"/>
    <s v="Michael Brown"/>
    <s v="P007"/>
    <x v="6"/>
    <x v="2"/>
    <n v="2"/>
    <n v="299.99"/>
    <s v="Cash"/>
    <x v="3"/>
    <s v="Basic"/>
    <d v="2022-07-29T00:00:00"/>
    <n v="599.98"/>
    <x v="8"/>
  </r>
  <r>
    <s v="TRX0165"/>
    <x v="115"/>
    <x v="22"/>
    <s v="Helen Roberts"/>
    <s v="P006"/>
    <x v="9"/>
    <x v="2"/>
    <n v="4"/>
    <n v="199.99"/>
    <s v="Credit Card"/>
    <x v="0"/>
    <s v="Basic"/>
    <d v="2021-11-23T00:00:00"/>
    <n v="799.96"/>
    <x v="8"/>
  </r>
  <r>
    <s v="TRX0156"/>
    <x v="116"/>
    <x v="7"/>
    <s v="Robert Thomas"/>
    <s v="P010"/>
    <x v="8"/>
    <x v="0"/>
    <n v="1"/>
    <n v="89.99"/>
    <s v="Credit Card"/>
    <x v="1"/>
    <s v="Premium"/>
    <d v="2022-01-30T00:00:00"/>
    <n v="89.99"/>
    <x v="8"/>
  </r>
  <r>
    <s v="TRX0147"/>
    <x v="116"/>
    <x v="20"/>
    <s v="Nancy Collins"/>
    <s v="P008"/>
    <x v="2"/>
    <x v="2"/>
    <n v="5"/>
    <n v="149.99"/>
    <s v="Cash"/>
    <x v="0"/>
    <s v="Premium"/>
    <d v="2024-02-25T00:00:00"/>
    <n v="749.95"/>
    <x v="8"/>
  </r>
  <r>
    <s v="TRX0207"/>
    <x v="117"/>
    <x v="14"/>
    <s v="Mark Carter"/>
    <s v="P001"/>
    <x v="4"/>
    <x v="0"/>
    <n v="1"/>
    <n v="899.99"/>
    <s v="PayPal"/>
    <x v="2"/>
    <s v="Premium"/>
    <d v="2023-05-04T00:00:00"/>
    <n v="899.99"/>
    <x v="8"/>
  </r>
  <r>
    <s v="TRX0056"/>
    <x v="118"/>
    <x v="29"/>
    <s v="Daniel King"/>
    <s v="P010"/>
    <x v="8"/>
    <x v="0"/>
    <n v="2"/>
    <n v="89.99"/>
    <s v="Credit Card"/>
    <x v="1"/>
    <s v="Premium"/>
    <d v="2022-01-03T00:00:00"/>
    <n v="179.98"/>
    <x v="9"/>
  </r>
  <r>
    <s v="TRX0026"/>
    <x v="119"/>
    <x v="48"/>
    <s v="Arthur Edwards"/>
    <s v="P001"/>
    <x v="4"/>
    <x v="0"/>
    <n v="1"/>
    <n v="899.99"/>
    <s v="PayPal"/>
    <x v="2"/>
    <s v="Standard"/>
    <d v="2022-07-10T00:00:00"/>
    <n v="899.99"/>
    <x v="9"/>
  </r>
  <r>
    <s v="TRX0237"/>
    <x v="120"/>
    <x v="24"/>
    <s v="Lisa Anderson"/>
    <s v="P003"/>
    <x v="3"/>
    <x v="0"/>
    <n v="5"/>
    <n v="149.99"/>
    <s v="PayPal"/>
    <x v="4"/>
    <s v="Premium"/>
    <d v="2022-09-20T00:00:00"/>
    <n v="749.95"/>
    <x v="9"/>
  </r>
  <r>
    <s v="TRX0091"/>
    <x v="120"/>
    <x v="4"/>
    <s v="Michael Brown"/>
    <s v="P007"/>
    <x v="6"/>
    <x v="2"/>
    <n v="3"/>
    <n v="299.99"/>
    <s v="Cash"/>
    <x v="1"/>
    <s v="Standard"/>
    <d v="2021-08-14T00:00:00"/>
    <n v="899.97"/>
    <x v="9"/>
  </r>
  <r>
    <s v="TRX0125"/>
    <x v="121"/>
    <x v="8"/>
    <s v="Karen Hill"/>
    <s v="P002"/>
    <x v="5"/>
    <x v="0"/>
    <n v="3"/>
    <n v="699.99"/>
    <s v="Credit Card"/>
    <x v="0"/>
    <s v="Premium"/>
    <d v="2023-06-28T00:00:00"/>
    <n v="2099.9699999999998"/>
    <x v="9"/>
  </r>
  <r>
    <s v="TRX0223"/>
    <x v="122"/>
    <x v="20"/>
    <s v="Nancy Collins"/>
    <s v="P006"/>
    <x v="9"/>
    <x v="2"/>
    <n v="5"/>
    <n v="199.99"/>
    <s v="PayPal"/>
    <x v="0"/>
    <s v="Standard"/>
    <d v="2022-03-13T00:00:00"/>
    <n v="999.95"/>
    <x v="9"/>
  </r>
  <r>
    <s v="TRX0243"/>
    <x v="122"/>
    <x v="16"/>
    <s v="Virginia Sanders"/>
    <s v="P009"/>
    <x v="0"/>
    <x v="0"/>
    <n v="5"/>
    <n v="249.99"/>
    <s v="Credit Card"/>
    <x v="1"/>
    <s v="Basic"/>
    <d v="2024-02-08T00:00:00"/>
    <n v="1249.95"/>
    <x v="9"/>
  </r>
  <r>
    <s v="TRX0084"/>
    <x v="123"/>
    <x v="26"/>
    <s v="Steven Turner"/>
    <s v="P003"/>
    <x v="3"/>
    <x v="0"/>
    <n v="4"/>
    <n v="149.99"/>
    <s v="Debit Card"/>
    <x v="4"/>
    <s v="Standard"/>
    <d v="2021-12-06T00:00:00"/>
    <n v="599.96"/>
    <x v="9"/>
  </r>
  <r>
    <s v="TRX0238"/>
    <x v="123"/>
    <x v="12"/>
    <s v="Michelle Rogers"/>
    <s v="P002"/>
    <x v="5"/>
    <x v="0"/>
    <n v="3"/>
    <n v="699.99"/>
    <s v="Cash"/>
    <x v="2"/>
    <s v="Premium"/>
    <d v="2022-02-10T00:00:00"/>
    <n v="2099.9699999999998"/>
    <x v="9"/>
  </r>
  <r>
    <s v="TRX0102"/>
    <x v="124"/>
    <x v="46"/>
    <s v="Douglas Watson"/>
    <s v="P004"/>
    <x v="7"/>
    <x v="1"/>
    <n v="1"/>
    <n v="79.989999999999995"/>
    <s v="Credit Card"/>
    <x v="1"/>
    <s v="Basic"/>
    <d v="2024-01-31T00:00:00"/>
    <n v="79.989999999999995"/>
    <x v="9"/>
  </r>
  <r>
    <s v="TRX0022"/>
    <x v="124"/>
    <x v="14"/>
    <s v="Mark Carter"/>
    <s v="P007"/>
    <x v="6"/>
    <x v="2"/>
    <n v="1"/>
    <n v="299.99"/>
    <s v="Credit Card"/>
    <x v="2"/>
    <s v="Basic"/>
    <d v="2021-08-28T00:00:00"/>
    <n v="299.99"/>
    <x v="9"/>
  </r>
  <r>
    <s v="TRX0087"/>
    <x v="125"/>
    <x v="32"/>
    <s v="Betty Campbell"/>
    <s v="P009"/>
    <x v="0"/>
    <x v="0"/>
    <n v="4"/>
    <n v="249.99"/>
    <s v="Credit Card"/>
    <x v="2"/>
    <s v="Premium"/>
    <d v="2021-09-21T00:00:00"/>
    <n v="999.96"/>
    <x v="9"/>
  </r>
  <r>
    <s v="TRX0107"/>
    <x v="125"/>
    <x v="22"/>
    <s v="Helen Roberts"/>
    <s v="P003"/>
    <x v="3"/>
    <x v="0"/>
    <n v="2"/>
    <n v="149.99"/>
    <s v="Cash"/>
    <x v="2"/>
    <s v="Standard"/>
    <d v="2022-12-18T00:00:00"/>
    <n v="299.98"/>
    <x v="9"/>
  </r>
  <r>
    <s v="TRX0051"/>
    <x v="125"/>
    <x v="42"/>
    <s v="Sandra Phillips"/>
    <s v="P007"/>
    <x v="6"/>
    <x v="2"/>
    <n v="3"/>
    <n v="299.99"/>
    <s v="Credit Card"/>
    <x v="1"/>
    <s v="Basic"/>
    <d v="2023-10-05T00:00:00"/>
    <n v="899.97"/>
    <x v="9"/>
  </r>
  <r>
    <s v="TRX0106"/>
    <x v="126"/>
    <x v="40"/>
    <s v="Lawrence Reed"/>
    <s v="P006"/>
    <x v="9"/>
    <x v="2"/>
    <n v="4"/>
    <n v="199.99"/>
    <s v="Debit Card"/>
    <x v="1"/>
    <s v="Standard"/>
    <d v="2021-12-14T00:00:00"/>
    <n v="799.96"/>
    <x v="9"/>
  </r>
  <r>
    <s v="TRX0059"/>
    <x v="126"/>
    <x v="39"/>
    <s v="Elizabeth Hall"/>
    <s v="P007"/>
    <x v="6"/>
    <x v="2"/>
    <n v="5"/>
    <n v="299.99"/>
    <s v="Debit Card"/>
    <x v="0"/>
    <s v="Basic"/>
    <d v="2021-08-23T00:00:00"/>
    <n v="1499.95"/>
    <x v="9"/>
  </r>
  <r>
    <s v="TRX0072"/>
    <x v="126"/>
    <x v="7"/>
    <s v="Robert Thomas"/>
    <s v="P008"/>
    <x v="2"/>
    <x v="2"/>
    <n v="3"/>
    <n v="149.99"/>
    <s v="Credit Card"/>
    <x v="4"/>
    <s v="Standard"/>
    <d v="2021-07-18T00:00:00"/>
    <n v="449.97"/>
    <x v="9"/>
  </r>
  <r>
    <s v="TRX0110"/>
    <x v="127"/>
    <x v="24"/>
    <s v="Lisa Anderson"/>
    <s v="P005"/>
    <x v="1"/>
    <x v="1"/>
    <n v="5"/>
    <n v="59.99"/>
    <s v="Debit Card"/>
    <x v="4"/>
    <s v="Basic"/>
    <d v="2022-03-22T00:00:00"/>
    <n v="299.95"/>
    <x v="9"/>
  </r>
  <r>
    <s v="TRX0126"/>
    <x v="128"/>
    <x v="9"/>
    <s v="Susan Green"/>
    <s v="P005"/>
    <x v="1"/>
    <x v="1"/>
    <n v="4"/>
    <n v="59.99"/>
    <s v="Debit Card"/>
    <x v="4"/>
    <s v="Standard"/>
    <d v="2022-01-03T00:00:00"/>
    <n v="239.96"/>
    <x v="9"/>
  </r>
  <r>
    <s v="TRX0159"/>
    <x v="129"/>
    <x v="5"/>
    <s v="Dorothy Nelson"/>
    <s v="P009"/>
    <x v="0"/>
    <x v="0"/>
    <n v="4"/>
    <n v="249.99"/>
    <s v="Debit Card"/>
    <x v="0"/>
    <s v="Premium"/>
    <d v="2023-10-18T00:00:00"/>
    <n v="999.96"/>
    <x v="9"/>
  </r>
  <r>
    <s v="TRX0030"/>
    <x v="130"/>
    <x v="44"/>
    <s v="William White"/>
    <s v="P001"/>
    <x v="4"/>
    <x v="0"/>
    <n v="4"/>
    <n v="899.99"/>
    <s v="PayPal"/>
    <x v="0"/>
    <s v="Basic"/>
    <d v="2022-06-22T00:00:00"/>
    <n v="3599.96"/>
    <x v="9"/>
  </r>
  <r>
    <s v="TRX0178"/>
    <x v="130"/>
    <x v="14"/>
    <s v="Mark Carter"/>
    <s v="P007"/>
    <x v="6"/>
    <x v="2"/>
    <n v="3"/>
    <n v="299.99"/>
    <s v="Debit Card"/>
    <x v="3"/>
    <s v="Standard"/>
    <d v="2023-01-26T00:00:00"/>
    <n v="899.97"/>
    <x v="9"/>
  </r>
  <r>
    <s v="TRX0188"/>
    <x v="130"/>
    <x v="46"/>
    <s v="Douglas Watson"/>
    <s v="P002"/>
    <x v="5"/>
    <x v="0"/>
    <n v="2"/>
    <n v="699.99"/>
    <s v="Debit Card"/>
    <x v="0"/>
    <s v="Premium"/>
    <d v="2022-04-30T00:00:00"/>
    <n v="1399.98"/>
    <x v="9"/>
  </r>
  <r>
    <s v="TRX0010"/>
    <x v="131"/>
    <x v="8"/>
    <s v="Karen Hill"/>
    <s v="P002"/>
    <x v="5"/>
    <x v="0"/>
    <n v="4"/>
    <n v="699.99"/>
    <s v="Debit Card"/>
    <x v="3"/>
    <s v="Premium"/>
    <d v="2022-05-11T00:00:00"/>
    <n v="2799.96"/>
    <x v="9"/>
  </r>
  <r>
    <s v="TRX0069"/>
    <x v="131"/>
    <x v="23"/>
    <s v="Edward Mitchell"/>
    <s v="P010"/>
    <x v="8"/>
    <x v="0"/>
    <n v="2"/>
    <n v="89.99"/>
    <s v="Debit Card"/>
    <x v="1"/>
    <s v="Basic"/>
    <d v="2022-08-04T00:00:00"/>
    <n v="179.98"/>
    <x v="9"/>
  </r>
  <r>
    <s v="TRX0166"/>
    <x v="131"/>
    <x v="4"/>
    <s v="Michael Brown"/>
    <s v="P010"/>
    <x v="8"/>
    <x v="0"/>
    <n v="3"/>
    <n v="89.99"/>
    <s v="Debit Card"/>
    <x v="1"/>
    <s v="Premium"/>
    <d v="2024-01-16T00:00:00"/>
    <n v="269.97000000000003"/>
    <x v="9"/>
  </r>
  <r>
    <s v="TRX0219"/>
    <x v="132"/>
    <x v="48"/>
    <s v="Arthur Edwards"/>
    <s v="P005"/>
    <x v="1"/>
    <x v="1"/>
    <n v="1"/>
    <n v="59.99"/>
    <s v="Debit Card"/>
    <x v="0"/>
    <s v="Standard"/>
    <d v="2023-04-29T00:00:00"/>
    <n v="59.99"/>
    <x v="10"/>
  </r>
  <r>
    <s v="TRX0024"/>
    <x v="133"/>
    <x v="43"/>
    <s v="Ruth Brooks"/>
    <s v="P008"/>
    <x v="2"/>
    <x v="2"/>
    <n v="3"/>
    <n v="149.99"/>
    <s v="Debit Card"/>
    <x v="2"/>
    <s v="Premium"/>
    <d v="2022-01-03T00:00:00"/>
    <n v="449.97"/>
    <x v="10"/>
  </r>
  <r>
    <s v="TRX0105"/>
    <x v="133"/>
    <x v="16"/>
    <s v="Virginia Sanders"/>
    <s v="P007"/>
    <x v="6"/>
    <x v="2"/>
    <n v="5"/>
    <n v="299.99"/>
    <s v="Credit Card"/>
    <x v="1"/>
    <s v="Basic"/>
    <d v="2023-02-02T00:00:00"/>
    <n v="1499.95"/>
    <x v="10"/>
  </r>
  <r>
    <s v="TRX0011"/>
    <x v="134"/>
    <x v="30"/>
    <s v="Sharon Butler"/>
    <s v="P005"/>
    <x v="1"/>
    <x v="1"/>
    <n v="5"/>
    <n v="59.99"/>
    <s v="Debit Card"/>
    <x v="0"/>
    <s v="Standard"/>
    <d v="2023-09-08T00:00:00"/>
    <n v="299.95"/>
    <x v="10"/>
  </r>
  <r>
    <s v="TRX0187"/>
    <x v="135"/>
    <x v="20"/>
    <s v="Nancy Collins"/>
    <s v="P004"/>
    <x v="7"/>
    <x v="1"/>
    <n v="3"/>
    <n v="79.989999999999995"/>
    <s v="Cash"/>
    <x v="4"/>
    <s v="Premium"/>
    <d v="2021-08-28T00:00:00"/>
    <n v="239.97"/>
    <x v="10"/>
  </r>
  <r>
    <s v="TRX0089"/>
    <x v="136"/>
    <x v="2"/>
    <s v="Kevin Scott"/>
    <s v="P006"/>
    <x v="9"/>
    <x v="2"/>
    <n v="3"/>
    <n v="199.99"/>
    <s v="Cash"/>
    <x v="0"/>
    <s v="Basic"/>
    <d v="2022-06-23T00:00:00"/>
    <n v="599.97"/>
    <x v="10"/>
  </r>
  <r>
    <s v="TRX0196"/>
    <x v="136"/>
    <x v="0"/>
    <s v="Paul Baker"/>
    <s v="P010"/>
    <x v="8"/>
    <x v="0"/>
    <n v="2"/>
    <n v="89.99"/>
    <s v="PayPal"/>
    <x v="0"/>
    <s v="Basic"/>
    <d v="2023-11-27T00:00:00"/>
    <n v="179.98"/>
    <x v="10"/>
  </r>
  <r>
    <s v="TRX0118"/>
    <x v="137"/>
    <x v="45"/>
    <s v="Richard Lee"/>
    <s v="P008"/>
    <x v="2"/>
    <x v="2"/>
    <n v="2"/>
    <n v="149.99"/>
    <s v="Cash"/>
    <x v="1"/>
    <s v="Premium"/>
    <d v="2022-06-16T00:00:00"/>
    <n v="299.98"/>
    <x v="10"/>
  </r>
  <r>
    <s v="TRX0179"/>
    <x v="138"/>
    <x v="23"/>
    <s v="Edward Mitchell"/>
    <s v="P002"/>
    <x v="5"/>
    <x v="0"/>
    <n v="5"/>
    <n v="699.99"/>
    <s v="PayPal"/>
    <x v="1"/>
    <s v="Premium"/>
    <d v="2024-03-01T00:00:00"/>
    <n v="3499.95"/>
    <x v="10"/>
  </r>
  <r>
    <s v="TRX0168"/>
    <x v="138"/>
    <x v="4"/>
    <s v="Michael Brown"/>
    <s v="P008"/>
    <x v="2"/>
    <x v="2"/>
    <n v="3"/>
    <n v="149.99"/>
    <s v="PayPal"/>
    <x v="0"/>
    <s v="Standard"/>
    <d v="2022-03-13T00:00:00"/>
    <n v="449.97"/>
    <x v="10"/>
  </r>
  <r>
    <s v="TRX0214"/>
    <x v="139"/>
    <x v="17"/>
    <s v="Barbara Young"/>
    <s v="P001"/>
    <x v="4"/>
    <x v="0"/>
    <n v="3"/>
    <n v="899.99"/>
    <s v="Cash"/>
    <x v="4"/>
    <s v="Standard"/>
    <d v="2022-02-21T00:00:00"/>
    <n v="2699.97"/>
    <x v="10"/>
  </r>
  <r>
    <s v="TRX0221"/>
    <x v="139"/>
    <x v="37"/>
    <s v="Frank Torres"/>
    <s v="P006"/>
    <x v="9"/>
    <x v="2"/>
    <n v="3"/>
    <n v="199.99"/>
    <s v="Cash"/>
    <x v="3"/>
    <s v="Premium"/>
    <d v="2022-09-19T00:00:00"/>
    <n v="599.97"/>
    <x v="10"/>
  </r>
  <r>
    <s v="TRX0083"/>
    <x v="140"/>
    <x v="6"/>
    <s v="Charles Allen"/>
    <s v="P007"/>
    <x v="6"/>
    <x v="2"/>
    <n v="5"/>
    <n v="299.99"/>
    <s v="Cash"/>
    <x v="3"/>
    <s v="Standard"/>
    <d v="2023-08-04T00:00:00"/>
    <n v="1499.95"/>
    <x v="10"/>
  </r>
  <r>
    <s v="TRX0151"/>
    <x v="140"/>
    <x v="30"/>
    <s v="Sharon Butler"/>
    <s v="P002"/>
    <x v="5"/>
    <x v="0"/>
    <n v="1"/>
    <n v="699.99"/>
    <s v="PayPal"/>
    <x v="3"/>
    <s v="Basic"/>
    <d v="2023-01-08T00:00:00"/>
    <n v="699.99"/>
    <x v="10"/>
  </r>
  <r>
    <s v="TRX0047"/>
    <x v="141"/>
    <x v="43"/>
    <s v="Ruth Brooks"/>
    <s v="P002"/>
    <x v="5"/>
    <x v="0"/>
    <n v="1"/>
    <n v="699.99"/>
    <s v="Cash"/>
    <x v="2"/>
    <s v="Premium"/>
    <d v="2022-01-22T00:00:00"/>
    <n v="699.99"/>
    <x v="10"/>
  </r>
  <r>
    <s v="TRX0200"/>
    <x v="141"/>
    <x v="48"/>
    <s v="Arthur Edwards"/>
    <s v="P008"/>
    <x v="2"/>
    <x v="2"/>
    <n v="4"/>
    <n v="149.99"/>
    <s v="PayPal"/>
    <x v="2"/>
    <s v="Premium"/>
    <d v="2021-08-04T00:00:00"/>
    <n v="599.96"/>
    <x v="10"/>
  </r>
  <r>
    <s v="TRX0062"/>
    <x v="141"/>
    <x v="39"/>
    <s v="Elizabeth Hall"/>
    <s v="P010"/>
    <x v="8"/>
    <x v="0"/>
    <n v="5"/>
    <n v="89.99"/>
    <s v="PayPal"/>
    <x v="3"/>
    <s v="Premium"/>
    <d v="2023-08-02T00:00:00"/>
    <n v="449.95"/>
    <x v="10"/>
  </r>
  <r>
    <s v="TRX0182"/>
    <x v="142"/>
    <x v="26"/>
    <s v="Steven Turner"/>
    <s v="P006"/>
    <x v="9"/>
    <x v="2"/>
    <n v="2"/>
    <n v="199.99"/>
    <s v="Cash"/>
    <x v="0"/>
    <s v="Premium"/>
    <d v="2022-01-12T00:00:00"/>
    <n v="399.98"/>
    <x v="10"/>
  </r>
  <r>
    <s v="TRX0229"/>
    <x v="143"/>
    <x v="45"/>
    <s v="Richard Lee"/>
    <s v="P005"/>
    <x v="1"/>
    <x v="1"/>
    <n v="4"/>
    <n v="59.99"/>
    <s v="Cash"/>
    <x v="3"/>
    <s v="Standard"/>
    <d v="2023-05-24T00:00:00"/>
    <n v="239.96"/>
    <x v="10"/>
  </r>
  <r>
    <s v="TRX0048"/>
    <x v="143"/>
    <x v="16"/>
    <s v="Virginia Sanders"/>
    <s v="P007"/>
    <x v="6"/>
    <x v="2"/>
    <n v="2"/>
    <n v="299.99"/>
    <s v="PayPal"/>
    <x v="1"/>
    <s v="Basic"/>
    <d v="2022-01-15T00:00:00"/>
    <n v="599.98"/>
    <x v="10"/>
  </r>
  <r>
    <s v="TRX0227"/>
    <x v="144"/>
    <x v="6"/>
    <s v="Charles Allen"/>
    <s v="P008"/>
    <x v="2"/>
    <x v="2"/>
    <n v="2"/>
    <n v="149.99"/>
    <s v="Cash"/>
    <x v="0"/>
    <s v="Basic"/>
    <d v="2023-05-22T00:00:00"/>
    <n v="299.98"/>
    <x v="11"/>
  </r>
  <r>
    <s v="TRX0226"/>
    <x v="145"/>
    <x v="40"/>
    <s v="Lawrence Reed"/>
    <s v="P002"/>
    <x v="5"/>
    <x v="0"/>
    <n v="5"/>
    <n v="699.99"/>
    <s v="Debit Card"/>
    <x v="4"/>
    <s v="Premium"/>
    <d v="2023-08-23T00:00:00"/>
    <n v="3499.95"/>
    <x v="11"/>
  </r>
  <r>
    <s v="TRX0053"/>
    <x v="146"/>
    <x v="11"/>
    <s v="Dennis Gray"/>
    <s v="P005"/>
    <x v="1"/>
    <x v="1"/>
    <n v="5"/>
    <n v="59.99"/>
    <s v="Cash"/>
    <x v="3"/>
    <s v="Premium"/>
    <d v="2023-12-31T00:00:00"/>
    <n v="299.95"/>
    <x v="11"/>
  </r>
  <r>
    <s v="TRX0233"/>
    <x v="147"/>
    <x v="0"/>
    <s v="Paul Baker"/>
    <s v="P010"/>
    <x v="8"/>
    <x v="0"/>
    <n v="2"/>
    <n v="89.99"/>
    <s v="Credit Card"/>
    <x v="3"/>
    <s v="Premium"/>
    <d v="2024-01-04T00:00:00"/>
    <n v="179.98"/>
    <x v="11"/>
  </r>
  <r>
    <s v="TRX0175"/>
    <x v="147"/>
    <x v="22"/>
    <s v="Helen Roberts"/>
    <s v="P009"/>
    <x v="0"/>
    <x v="0"/>
    <n v="5"/>
    <n v="249.99"/>
    <s v="Cash"/>
    <x v="4"/>
    <s v="Standard"/>
    <d v="2021-12-10T00:00:00"/>
    <n v="1249.95"/>
    <x v="11"/>
  </r>
  <r>
    <s v="TRX0186"/>
    <x v="148"/>
    <x v="40"/>
    <s v="Lawrence Reed"/>
    <s v="P008"/>
    <x v="2"/>
    <x v="2"/>
    <n v="2"/>
    <n v="149.99"/>
    <s v="PayPal"/>
    <x v="0"/>
    <s v="Premium"/>
    <d v="2022-03-12T00:00:00"/>
    <n v="299.98"/>
    <x v="11"/>
  </r>
  <r>
    <s v="TRX0016"/>
    <x v="148"/>
    <x v="28"/>
    <s v="Harry Morgan"/>
    <s v="P001"/>
    <x v="4"/>
    <x v="0"/>
    <n v="5"/>
    <n v="899.99"/>
    <s v="PayPal"/>
    <x v="4"/>
    <s v="Premium"/>
    <d v="2024-04-07T00:00:00"/>
    <n v="4499.95"/>
    <x v="11"/>
  </r>
  <r>
    <s v="TRX0199"/>
    <x v="148"/>
    <x v="6"/>
    <s v="Charles Allen"/>
    <s v="P008"/>
    <x v="2"/>
    <x v="2"/>
    <n v="4"/>
    <n v="149.99"/>
    <s v="Cash"/>
    <x v="0"/>
    <s v="Standard"/>
    <d v="2023-12-03T00:00:00"/>
    <n v="599.96"/>
    <x v="11"/>
  </r>
  <r>
    <s v="TRX0038"/>
    <x v="149"/>
    <x v="28"/>
    <s v="Harry Morgan"/>
    <s v="P009"/>
    <x v="0"/>
    <x v="0"/>
    <n v="1"/>
    <n v="249.99"/>
    <s v="Cash"/>
    <x v="2"/>
    <s v="Standard"/>
    <d v="2023-07-10T00:00:00"/>
    <n v="249.99"/>
    <x v="11"/>
  </r>
  <r>
    <s v="TRX0014"/>
    <x v="150"/>
    <x v="37"/>
    <s v="Frank Torres"/>
    <s v="P005"/>
    <x v="1"/>
    <x v="1"/>
    <n v="2"/>
    <n v="59.99"/>
    <s v="Credit Card"/>
    <x v="3"/>
    <s v="Basic"/>
    <d v="2023-09-24T00:00:00"/>
    <n v="119.98"/>
    <x v="11"/>
  </r>
  <r>
    <s v="TRX0003"/>
    <x v="151"/>
    <x v="25"/>
    <s v="Emma Wilson"/>
    <s v="P008"/>
    <x v="2"/>
    <x v="2"/>
    <n v="2"/>
    <n v="149.99"/>
    <s v="Cash"/>
    <x v="3"/>
    <s v="Premium"/>
    <d v="2023-11-03T00:00:00"/>
    <n v="299.98"/>
    <x v="11"/>
  </r>
  <r>
    <s v="TRX0124"/>
    <x v="151"/>
    <x v="30"/>
    <s v="Sharon Butler"/>
    <s v="P001"/>
    <x v="4"/>
    <x v="0"/>
    <n v="3"/>
    <n v="899.99"/>
    <s v="Debit Card"/>
    <x v="2"/>
    <s v="Premium"/>
    <d v="2022-11-11T00:00:00"/>
    <n v="2699.97"/>
    <x v="11"/>
  </r>
  <r>
    <s v="TRX0013"/>
    <x v="151"/>
    <x v="5"/>
    <s v="Dorothy Nelson"/>
    <s v="P001"/>
    <x v="4"/>
    <x v="0"/>
    <n v="3"/>
    <n v="899.99"/>
    <s v="PayPal"/>
    <x v="2"/>
    <s v="Basic"/>
    <d v="2023-02-18T00:00:00"/>
    <n v="2699.97"/>
    <x v="11"/>
  </r>
  <r>
    <s v="TRX0019"/>
    <x v="152"/>
    <x v="0"/>
    <s v="Paul Baker"/>
    <s v="P007"/>
    <x v="6"/>
    <x v="2"/>
    <n v="3"/>
    <n v="299.99"/>
    <s v="Credit Card"/>
    <x v="3"/>
    <s v="Premium"/>
    <d v="2023-11-04T00:00:00"/>
    <n v="899.97"/>
    <x v="11"/>
  </r>
  <r>
    <s v="TRX0050"/>
    <x v="153"/>
    <x v="49"/>
    <s v="John Smith"/>
    <s v="P008"/>
    <x v="2"/>
    <x v="2"/>
    <n v="4"/>
    <n v="149.99"/>
    <s v="PayPal"/>
    <x v="3"/>
    <s v="Standard"/>
    <d v="2021-12-30T00:00:00"/>
    <n v="599.96"/>
    <x v="11"/>
  </r>
  <r>
    <s v="TRX0152"/>
    <x v="154"/>
    <x v="19"/>
    <s v="Cynthia Price"/>
    <s v="P004"/>
    <x v="7"/>
    <x v="1"/>
    <n v="4"/>
    <n v="79.989999999999995"/>
    <s v="Credit Card"/>
    <x v="0"/>
    <s v="Basic"/>
    <d v="2023-12-28T00:00:00"/>
    <n v="319.95999999999998"/>
    <x v="11"/>
  </r>
  <r>
    <s v="TRX0213"/>
    <x v="155"/>
    <x v="36"/>
    <s v="Margaret Wright"/>
    <s v="P010"/>
    <x v="8"/>
    <x v="0"/>
    <n v="5"/>
    <n v="89.99"/>
    <s v="PayPal"/>
    <x v="1"/>
    <s v="Basic"/>
    <d v="2022-05-23T00:00:00"/>
    <n v="449.95"/>
    <x v="11"/>
  </r>
  <r>
    <s v="TRX0197"/>
    <x v="156"/>
    <x v="16"/>
    <s v="Virginia Sanders"/>
    <s v="P008"/>
    <x v="2"/>
    <x v="2"/>
    <n v="3"/>
    <n v="149.99"/>
    <s v="PayPal"/>
    <x v="0"/>
    <s v="Standard"/>
    <d v="2023-09-02T00:00:00"/>
    <n v="449.97"/>
    <x v="11"/>
  </r>
  <r>
    <s v="TRX0250"/>
    <x v="156"/>
    <x v="8"/>
    <s v="Karen Hill"/>
    <s v="P010"/>
    <x v="8"/>
    <x v="0"/>
    <n v="2"/>
    <n v="89.99"/>
    <s v="Debit Card"/>
    <x v="3"/>
    <s v="Premium"/>
    <d v="2021-11-22T00:00:00"/>
    <n v="179.98"/>
    <x v="11"/>
  </r>
  <r>
    <s v="TRX0068"/>
    <x v="157"/>
    <x v="19"/>
    <s v="Cynthia Price"/>
    <s v="P002"/>
    <x v="5"/>
    <x v="0"/>
    <n v="2"/>
    <n v="699.99"/>
    <s v="PayPal"/>
    <x v="2"/>
    <s v="Standard"/>
    <d v="2022-02-26T00:00:00"/>
    <n v="1399.98"/>
    <x v="0"/>
  </r>
  <r>
    <s v="TRX0144"/>
    <x v="158"/>
    <x v="23"/>
    <s v="Edward Mitchell"/>
    <s v="P001"/>
    <x v="4"/>
    <x v="0"/>
    <n v="3"/>
    <n v="899.99"/>
    <s v="Cash"/>
    <x v="0"/>
    <s v="Standard"/>
    <d v="2023-01-27T00:00:00"/>
    <n v="2699.97"/>
    <x v="0"/>
  </r>
  <r>
    <s v="TRX0039"/>
    <x v="159"/>
    <x v="16"/>
    <s v="Virginia Sanders"/>
    <s v="P004"/>
    <x v="7"/>
    <x v="1"/>
    <n v="3"/>
    <n v="79.989999999999995"/>
    <s v="Credit Card"/>
    <x v="2"/>
    <s v="Basic"/>
    <d v="2021-11-11T00:00:00"/>
    <n v="239.97"/>
    <x v="0"/>
  </r>
  <r>
    <s v="TRX0116"/>
    <x v="160"/>
    <x v="7"/>
    <s v="Robert Thomas"/>
    <s v="P010"/>
    <x v="8"/>
    <x v="0"/>
    <n v="1"/>
    <n v="89.99"/>
    <s v="Debit Card"/>
    <x v="4"/>
    <s v="Basic"/>
    <d v="2024-02-24T00:00:00"/>
    <n v="89.99"/>
    <x v="0"/>
  </r>
  <r>
    <s v="TRX0120"/>
    <x v="161"/>
    <x v="46"/>
    <s v="Douglas Watson"/>
    <s v="P002"/>
    <x v="5"/>
    <x v="0"/>
    <n v="3"/>
    <n v="699.99"/>
    <s v="PayPal"/>
    <x v="2"/>
    <s v="Basic"/>
    <d v="2022-12-14T00:00:00"/>
    <n v="2099.9699999999998"/>
    <x v="0"/>
  </r>
  <r>
    <s v="TRX0103"/>
    <x v="161"/>
    <x v="40"/>
    <s v="Lawrence Reed"/>
    <s v="P010"/>
    <x v="8"/>
    <x v="0"/>
    <n v="2"/>
    <n v="89.99"/>
    <s v="Debit Card"/>
    <x v="4"/>
    <s v="Basic"/>
    <d v="2023-06-11T00:00:00"/>
    <n v="179.98"/>
    <x v="0"/>
  </r>
  <r>
    <s v="TRX0064"/>
    <x v="161"/>
    <x v="26"/>
    <s v="Steven Turner"/>
    <s v="P010"/>
    <x v="8"/>
    <x v="0"/>
    <n v="3"/>
    <n v="89.99"/>
    <s v="Debit Card"/>
    <x v="2"/>
    <s v="Premium"/>
    <d v="2022-11-13T00:00:00"/>
    <n v="269.9700000000000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1E3E65-FA58-4F6D-B602-73C5EBD7440B}"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B48:C61" firstHeaderRow="1" firstDataRow="1" firstDataCol="1"/>
  <pivotFields count="15">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numFmtId="1" showAll="0"/>
    <pivotField numFmtId="2" showAll="0"/>
    <pivotField showAll="0"/>
    <pivotField showAll="0">
      <items count="6">
        <item x="0"/>
        <item x="4"/>
        <item x="2"/>
        <item x="1"/>
        <item x="3"/>
        <item t="default"/>
      </items>
    </pivotField>
    <pivotField showAll="0"/>
    <pivotField numFmtId="14" showAll="0"/>
    <pivotField dataField="1" numFmtId="2" showAll="0"/>
    <pivotField axis="axisRow" showAll="0">
      <items count="13">
        <item x="9"/>
        <item x="10"/>
        <item x="11"/>
        <item x="0"/>
        <item x="1"/>
        <item x="2"/>
        <item x="3"/>
        <item x="4"/>
        <item x="5"/>
        <item x="6"/>
        <item x="7"/>
        <item x="8"/>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Total_Amount" fld="13" baseField="0" baseItem="0" numFmtId="2"/>
  </dataFields>
  <formats count="26">
    <format dxfId="769">
      <pivotArea type="all" dataOnly="0" outline="0" fieldPosition="0"/>
    </format>
    <format dxfId="768">
      <pivotArea outline="0" collapsedLevelsAreSubtotals="1" fieldPosition="0"/>
    </format>
    <format dxfId="767">
      <pivotArea field="14" type="button" dataOnly="0" labelOnly="1" outline="0" axis="axisRow" fieldPosition="0"/>
    </format>
    <format dxfId="766">
      <pivotArea dataOnly="0" labelOnly="1" fieldPosition="0">
        <references count="1">
          <reference field="14" count="0"/>
        </references>
      </pivotArea>
    </format>
    <format dxfId="765">
      <pivotArea dataOnly="0" labelOnly="1" grandRow="1" outline="0" fieldPosition="0"/>
    </format>
    <format dxfId="764">
      <pivotArea dataOnly="0" labelOnly="1" outline="0" axis="axisValues" fieldPosition="0"/>
    </format>
    <format dxfId="763">
      <pivotArea type="all" dataOnly="0" outline="0" fieldPosition="0"/>
    </format>
    <format dxfId="762">
      <pivotArea outline="0" collapsedLevelsAreSubtotals="1" fieldPosition="0"/>
    </format>
    <format dxfId="761">
      <pivotArea field="14" type="button" dataOnly="0" labelOnly="1" outline="0" axis="axisRow" fieldPosition="0"/>
    </format>
    <format dxfId="760">
      <pivotArea dataOnly="0" labelOnly="1" fieldPosition="0">
        <references count="1">
          <reference field="14" count="0"/>
        </references>
      </pivotArea>
    </format>
    <format dxfId="759">
      <pivotArea dataOnly="0" labelOnly="1" grandRow="1" outline="0" fieldPosition="0"/>
    </format>
    <format dxfId="758">
      <pivotArea dataOnly="0" labelOnly="1" outline="0" axis="axisValues" fieldPosition="0"/>
    </format>
    <format dxfId="757">
      <pivotArea type="all" dataOnly="0" outline="0" fieldPosition="0"/>
    </format>
    <format dxfId="756">
      <pivotArea outline="0" collapsedLevelsAreSubtotals="1" fieldPosition="0"/>
    </format>
    <format dxfId="755">
      <pivotArea field="14" type="button" dataOnly="0" labelOnly="1" outline="0" axis="axisRow" fieldPosition="0"/>
    </format>
    <format dxfId="754">
      <pivotArea dataOnly="0" labelOnly="1" fieldPosition="0">
        <references count="1">
          <reference field="14" count="0"/>
        </references>
      </pivotArea>
    </format>
    <format dxfId="753">
      <pivotArea dataOnly="0" labelOnly="1" grandRow="1" outline="0" fieldPosition="0"/>
    </format>
    <format dxfId="752">
      <pivotArea dataOnly="0" labelOnly="1" outline="0" axis="axisValues" fieldPosition="0"/>
    </format>
    <format dxfId="751">
      <pivotArea type="all" dataOnly="0" outline="0" fieldPosition="0"/>
    </format>
    <format dxfId="750">
      <pivotArea outline="0" collapsedLevelsAreSubtotals="1" fieldPosition="0"/>
    </format>
    <format dxfId="749">
      <pivotArea field="14" type="button" dataOnly="0" labelOnly="1" outline="0" axis="axisRow" fieldPosition="0"/>
    </format>
    <format dxfId="748">
      <pivotArea dataOnly="0" labelOnly="1" fieldPosition="0">
        <references count="1">
          <reference field="14" count="0"/>
        </references>
      </pivotArea>
    </format>
    <format dxfId="747">
      <pivotArea dataOnly="0" labelOnly="1" grandRow="1" outline="0" fieldPosition="0"/>
    </format>
    <format dxfId="746">
      <pivotArea dataOnly="0" labelOnly="1" outline="0" axis="axisValues" fieldPosition="0"/>
    </format>
    <format dxfId="745">
      <pivotArea collapsedLevelsAreSubtotals="1" fieldPosition="0">
        <references count="1">
          <reference field="14" count="0"/>
        </references>
      </pivotArea>
    </format>
    <format dxfId="744">
      <pivotArea dataOnly="0" labelOnly="1" fieldPosition="0">
        <references count="1">
          <reference field="14" count="0"/>
        </references>
      </pivotArea>
    </format>
  </formats>
  <chartFormats count="5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4" count="1" selected="0">
            <x v="11"/>
          </reference>
        </references>
      </pivotArea>
    </chartFormat>
    <chartFormat chart="6" format="2">
      <pivotArea type="data" outline="0" fieldPosition="0">
        <references count="2">
          <reference field="4294967294" count="1" selected="0">
            <x v="0"/>
          </reference>
          <reference field="14" count="1" selected="0">
            <x v="10"/>
          </reference>
        </references>
      </pivotArea>
    </chartFormat>
    <chartFormat chart="6" format="3">
      <pivotArea type="data" outline="0" fieldPosition="0">
        <references count="2">
          <reference field="4294967294" count="1" selected="0">
            <x v="0"/>
          </reference>
          <reference field="14" count="1" selected="0">
            <x v="8"/>
          </reference>
        </references>
      </pivotArea>
    </chartFormat>
    <chartFormat chart="6" format="4">
      <pivotArea type="data" outline="0" fieldPosition="0">
        <references count="2">
          <reference field="4294967294" count="1" selected="0">
            <x v="0"/>
          </reference>
          <reference field="14" count="1" selected="0">
            <x v="7"/>
          </reference>
        </references>
      </pivotArea>
    </chartFormat>
    <chartFormat chart="6" format="5">
      <pivotArea type="data" outline="0" fieldPosition="0">
        <references count="2">
          <reference field="4294967294" count="1" selected="0">
            <x v="0"/>
          </reference>
          <reference field="14" count="1" selected="0">
            <x v="6"/>
          </reference>
        </references>
      </pivotArea>
    </chartFormat>
    <chartFormat chart="6" format="6">
      <pivotArea type="data" outline="0" fieldPosition="0">
        <references count="2">
          <reference field="4294967294" count="1" selected="0">
            <x v="0"/>
          </reference>
          <reference field="14" count="1" selected="0">
            <x v="2"/>
          </reference>
        </references>
      </pivotArea>
    </chartFormat>
    <chartFormat chart="6" format="7">
      <pivotArea type="data" outline="0" fieldPosition="0">
        <references count="2">
          <reference field="4294967294" count="1" selected="0">
            <x v="0"/>
          </reference>
          <reference field="14" count="1" selected="0">
            <x v="4"/>
          </reference>
        </references>
      </pivotArea>
    </chartFormat>
    <chartFormat chart="6" format="8">
      <pivotArea type="data" outline="0" fieldPosition="0">
        <references count="2">
          <reference field="4294967294" count="1" selected="0">
            <x v="0"/>
          </reference>
          <reference field="14" count="1" selected="0">
            <x v="1"/>
          </reference>
        </references>
      </pivotArea>
    </chartFormat>
    <chartFormat chart="6" format="9">
      <pivotArea type="data" outline="0" fieldPosition="0">
        <references count="2">
          <reference field="4294967294" count="1" selected="0">
            <x v="0"/>
          </reference>
          <reference field="14" count="1" selected="0">
            <x v="5"/>
          </reference>
        </references>
      </pivotArea>
    </chartFormat>
    <chartFormat chart="6" format="10">
      <pivotArea type="data" outline="0" fieldPosition="0">
        <references count="2">
          <reference field="4294967294" count="1" selected="0">
            <x v="0"/>
          </reference>
          <reference field="14" count="1" selected="0">
            <x v="3"/>
          </reference>
        </references>
      </pivotArea>
    </chartFormat>
    <chartFormat chart="6" format="11">
      <pivotArea type="data" outline="0" fieldPosition="0">
        <references count="2">
          <reference field="4294967294" count="1" selected="0">
            <x v="0"/>
          </reference>
          <reference field="14" count="1" selected="0">
            <x v="0"/>
          </reference>
        </references>
      </pivotArea>
    </chartFormat>
    <chartFormat chart="6" format="12">
      <pivotArea type="data" outline="0" fieldPosition="0">
        <references count="2">
          <reference field="4294967294" count="1" selected="0">
            <x v="0"/>
          </reference>
          <reference field="14" count="1" selected="0">
            <x v="9"/>
          </reference>
        </references>
      </pivotArea>
    </chartFormat>
    <chartFormat chart="8" format="26" series="1">
      <pivotArea type="data" outline="0" fieldPosition="0">
        <references count="1">
          <reference field="4294967294" count="1" selected="0">
            <x v="0"/>
          </reference>
        </references>
      </pivotArea>
    </chartFormat>
    <chartFormat chart="8" format="27">
      <pivotArea type="data" outline="0" fieldPosition="0">
        <references count="2">
          <reference field="4294967294" count="1" selected="0">
            <x v="0"/>
          </reference>
          <reference field="14" count="1" selected="0">
            <x v="0"/>
          </reference>
        </references>
      </pivotArea>
    </chartFormat>
    <chartFormat chart="8" format="28">
      <pivotArea type="data" outline="0" fieldPosition="0">
        <references count="2">
          <reference field="4294967294" count="1" selected="0">
            <x v="0"/>
          </reference>
          <reference field="14" count="1" selected="0">
            <x v="1"/>
          </reference>
        </references>
      </pivotArea>
    </chartFormat>
    <chartFormat chart="8" format="29">
      <pivotArea type="data" outline="0" fieldPosition="0">
        <references count="2">
          <reference field="4294967294" count="1" selected="0">
            <x v="0"/>
          </reference>
          <reference field="14" count="1" selected="0">
            <x v="2"/>
          </reference>
        </references>
      </pivotArea>
    </chartFormat>
    <chartFormat chart="8" format="30">
      <pivotArea type="data" outline="0" fieldPosition="0">
        <references count="2">
          <reference field="4294967294" count="1" selected="0">
            <x v="0"/>
          </reference>
          <reference field="14" count="1" selected="0">
            <x v="3"/>
          </reference>
        </references>
      </pivotArea>
    </chartFormat>
    <chartFormat chart="8" format="31">
      <pivotArea type="data" outline="0" fieldPosition="0">
        <references count="2">
          <reference field="4294967294" count="1" selected="0">
            <x v="0"/>
          </reference>
          <reference field="14" count="1" selected="0">
            <x v="4"/>
          </reference>
        </references>
      </pivotArea>
    </chartFormat>
    <chartFormat chart="8" format="32">
      <pivotArea type="data" outline="0" fieldPosition="0">
        <references count="2">
          <reference field="4294967294" count="1" selected="0">
            <x v="0"/>
          </reference>
          <reference field="14" count="1" selected="0">
            <x v="5"/>
          </reference>
        </references>
      </pivotArea>
    </chartFormat>
    <chartFormat chart="8" format="33">
      <pivotArea type="data" outline="0" fieldPosition="0">
        <references count="2">
          <reference field="4294967294" count="1" selected="0">
            <x v="0"/>
          </reference>
          <reference field="14" count="1" selected="0">
            <x v="6"/>
          </reference>
        </references>
      </pivotArea>
    </chartFormat>
    <chartFormat chart="8" format="34">
      <pivotArea type="data" outline="0" fieldPosition="0">
        <references count="2">
          <reference field="4294967294" count="1" selected="0">
            <x v="0"/>
          </reference>
          <reference field="14" count="1" selected="0">
            <x v="7"/>
          </reference>
        </references>
      </pivotArea>
    </chartFormat>
    <chartFormat chart="8" format="35">
      <pivotArea type="data" outline="0" fieldPosition="0">
        <references count="2">
          <reference field="4294967294" count="1" selected="0">
            <x v="0"/>
          </reference>
          <reference field="14" count="1" selected="0">
            <x v="8"/>
          </reference>
        </references>
      </pivotArea>
    </chartFormat>
    <chartFormat chart="8" format="36">
      <pivotArea type="data" outline="0" fieldPosition="0">
        <references count="2">
          <reference field="4294967294" count="1" selected="0">
            <x v="0"/>
          </reference>
          <reference field="14" count="1" selected="0">
            <x v="9"/>
          </reference>
        </references>
      </pivotArea>
    </chartFormat>
    <chartFormat chart="8" format="37">
      <pivotArea type="data" outline="0" fieldPosition="0">
        <references count="2">
          <reference field="4294967294" count="1" selected="0">
            <x v="0"/>
          </reference>
          <reference field="14" count="1" selected="0">
            <x v="10"/>
          </reference>
        </references>
      </pivotArea>
    </chartFormat>
    <chartFormat chart="8" format="38">
      <pivotArea type="data" outline="0" fieldPosition="0">
        <references count="2">
          <reference field="4294967294" count="1" selected="0">
            <x v="0"/>
          </reference>
          <reference field="14" count="1" selected="0">
            <x v="11"/>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14" count="1" selected="0">
            <x v="0"/>
          </reference>
        </references>
      </pivotArea>
    </chartFormat>
    <chartFormat chart="13" format="15">
      <pivotArea type="data" outline="0" fieldPosition="0">
        <references count="2">
          <reference field="4294967294" count="1" selected="0">
            <x v="0"/>
          </reference>
          <reference field="14" count="1" selected="0">
            <x v="1"/>
          </reference>
        </references>
      </pivotArea>
    </chartFormat>
    <chartFormat chart="13" format="16">
      <pivotArea type="data" outline="0" fieldPosition="0">
        <references count="2">
          <reference field="4294967294" count="1" selected="0">
            <x v="0"/>
          </reference>
          <reference field="14" count="1" selected="0">
            <x v="2"/>
          </reference>
        </references>
      </pivotArea>
    </chartFormat>
    <chartFormat chart="13" format="17">
      <pivotArea type="data" outline="0" fieldPosition="0">
        <references count="2">
          <reference field="4294967294" count="1" selected="0">
            <x v="0"/>
          </reference>
          <reference field="14" count="1" selected="0">
            <x v="3"/>
          </reference>
        </references>
      </pivotArea>
    </chartFormat>
    <chartFormat chart="13" format="18">
      <pivotArea type="data" outline="0" fieldPosition="0">
        <references count="2">
          <reference field="4294967294" count="1" selected="0">
            <x v="0"/>
          </reference>
          <reference field="14" count="1" selected="0">
            <x v="4"/>
          </reference>
        </references>
      </pivotArea>
    </chartFormat>
    <chartFormat chart="13" format="19">
      <pivotArea type="data" outline="0" fieldPosition="0">
        <references count="2">
          <reference field="4294967294" count="1" selected="0">
            <x v="0"/>
          </reference>
          <reference field="14" count="1" selected="0">
            <x v="5"/>
          </reference>
        </references>
      </pivotArea>
    </chartFormat>
    <chartFormat chart="13" format="20">
      <pivotArea type="data" outline="0" fieldPosition="0">
        <references count="2">
          <reference field="4294967294" count="1" selected="0">
            <x v="0"/>
          </reference>
          <reference field="14" count="1" selected="0">
            <x v="6"/>
          </reference>
        </references>
      </pivotArea>
    </chartFormat>
    <chartFormat chart="13" format="21">
      <pivotArea type="data" outline="0" fieldPosition="0">
        <references count="2">
          <reference field="4294967294" count="1" selected="0">
            <x v="0"/>
          </reference>
          <reference field="14" count="1" selected="0">
            <x v="7"/>
          </reference>
        </references>
      </pivotArea>
    </chartFormat>
    <chartFormat chart="13" format="22">
      <pivotArea type="data" outline="0" fieldPosition="0">
        <references count="2">
          <reference field="4294967294" count="1" selected="0">
            <x v="0"/>
          </reference>
          <reference field="14" count="1" selected="0">
            <x v="8"/>
          </reference>
        </references>
      </pivotArea>
    </chartFormat>
    <chartFormat chart="13" format="23">
      <pivotArea type="data" outline="0" fieldPosition="0">
        <references count="2">
          <reference field="4294967294" count="1" selected="0">
            <x v="0"/>
          </reference>
          <reference field="14" count="1" selected="0">
            <x v="9"/>
          </reference>
        </references>
      </pivotArea>
    </chartFormat>
    <chartFormat chart="13" format="24">
      <pivotArea type="data" outline="0" fieldPosition="0">
        <references count="2">
          <reference field="4294967294" count="1" selected="0">
            <x v="0"/>
          </reference>
          <reference field="14" count="1" selected="0">
            <x v="10"/>
          </reference>
        </references>
      </pivotArea>
    </chartFormat>
    <chartFormat chart="13" format="25">
      <pivotArea type="data" outline="0" fieldPosition="0">
        <references count="2">
          <reference field="4294967294" count="1" selected="0">
            <x v="0"/>
          </reference>
          <reference field="14" count="1" selected="0">
            <x v="11"/>
          </reference>
        </references>
      </pivotArea>
    </chartFormat>
    <chartFormat chart="14" format="26" series="1">
      <pivotArea type="data" outline="0" fieldPosition="0">
        <references count="1">
          <reference field="4294967294" count="1" selected="0">
            <x v="0"/>
          </reference>
        </references>
      </pivotArea>
    </chartFormat>
    <chartFormat chart="14" format="27">
      <pivotArea type="data" outline="0" fieldPosition="0">
        <references count="2">
          <reference field="4294967294" count="1" selected="0">
            <x v="0"/>
          </reference>
          <reference field="14" count="1" selected="0">
            <x v="0"/>
          </reference>
        </references>
      </pivotArea>
    </chartFormat>
    <chartFormat chart="14" format="28">
      <pivotArea type="data" outline="0" fieldPosition="0">
        <references count="2">
          <reference field="4294967294" count="1" selected="0">
            <x v="0"/>
          </reference>
          <reference field="14" count="1" selected="0">
            <x v="1"/>
          </reference>
        </references>
      </pivotArea>
    </chartFormat>
    <chartFormat chart="14" format="29">
      <pivotArea type="data" outline="0" fieldPosition="0">
        <references count="2">
          <reference field="4294967294" count="1" selected="0">
            <x v="0"/>
          </reference>
          <reference field="14" count="1" selected="0">
            <x v="2"/>
          </reference>
        </references>
      </pivotArea>
    </chartFormat>
    <chartFormat chart="14" format="30">
      <pivotArea type="data" outline="0" fieldPosition="0">
        <references count="2">
          <reference field="4294967294" count="1" selected="0">
            <x v="0"/>
          </reference>
          <reference field="14" count="1" selected="0">
            <x v="3"/>
          </reference>
        </references>
      </pivotArea>
    </chartFormat>
    <chartFormat chart="14" format="31">
      <pivotArea type="data" outline="0" fieldPosition="0">
        <references count="2">
          <reference field="4294967294" count="1" selected="0">
            <x v="0"/>
          </reference>
          <reference field="14" count="1" selected="0">
            <x v="4"/>
          </reference>
        </references>
      </pivotArea>
    </chartFormat>
    <chartFormat chart="14" format="32">
      <pivotArea type="data" outline="0" fieldPosition="0">
        <references count="2">
          <reference field="4294967294" count="1" selected="0">
            <x v="0"/>
          </reference>
          <reference field="14" count="1" selected="0">
            <x v="5"/>
          </reference>
        </references>
      </pivotArea>
    </chartFormat>
    <chartFormat chart="14" format="33">
      <pivotArea type="data" outline="0" fieldPosition="0">
        <references count="2">
          <reference field="4294967294" count="1" selected="0">
            <x v="0"/>
          </reference>
          <reference field="14" count="1" selected="0">
            <x v="6"/>
          </reference>
        </references>
      </pivotArea>
    </chartFormat>
    <chartFormat chart="14" format="34">
      <pivotArea type="data" outline="0" fieldPosition="0">
        <references count="2">
          <reference field="4294967294" count="1" selected="0">
            <x v="0"/>
          </reference>
          <reference field="14" count="1" selected="0">
            <x v="7"/>
          </reference>
        </references>
      </pivotArea>
    </chartFormat>
    <chartFormat chart="14" format="35">
      <pivotArea type="data" outline="0" fieldPosition="0">
        <references count="2">
          <reference field="4294967294" count="1" selected="0">
            <x v="0"/>
          </reference>
          <reference field="14" count="1" selected="0">
            <x v="8"/>
          </reference>
        </references>
      </pivotArea>
    </chartFormat>
    <chartFormat chart="14" format="36">
      <pivotArea type="data" outline="0" fieldPosition="0">
        <references count="2">
          <reference field="4294967294" count="1" selected="0">
            <x v="0"/>
          </reference>
          <reference field="14" count="1" selected="0">
            <x v="9"/>
          </reference>
        </references>
      </pivotArea>
    </chartFormat>
    <chartFormat chart="14" format="37">
      <pivotArea type="data" outline="0" fieldPosition="0">
        <references count="2">
          <reference field="4294967294" count="1" selected="0">
            <x v="0"/>
          </reference>
          <reference field="14" count="1" selected="0">
            <x v="10"/>
          </reference>
        </references>
      </pivotArea>
    </chartFormat>
    <chartFormat chart="14" format="38">
      <pivotArea type="data" outline="0" fieldPosition="0">
        <references count="2">
          <reference field="4294967294" count="1" selected="0">
            <x v="0"/>
          </reference>
          <reference field="14" count="1" selected="0">
            <x v="11"/>
          </reference>
        </references>
      </pivotArea>
    </chartFormat>
  </chartFormats>
  <pivotTableStyleInfo name="PivotStyleLight16" showRowHeaders="1" showColHeaders="1" showRowStripes="0" showColStripes="0" showLastColumn="1"/>
  <filters count="1">
    <filter fld="1" type="dateBetween" evalOrder="-1" id="138"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4598AD-EB9F-46C1-AEE5-4194D416F504}"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B26:C30" firstHeaderRow="1" firstDataRow="1" firstDataCol="1"/>
  <pivotFields count="15">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numFmtId="1" showAll="0"/>
    <pivotField numFmtId="2" showAll="0"/>
    <pivotField showAll="0"/>
    <pivotField showAll="0">
      <items count="6">
        <item x="0"/>
        <item x="4"/>
        <item x="2"/>
        <item x="1"/>
        <item x="3"/>
        <item t="default"/>
      </items>
    </pivotField>
    <pivotField showAll="0"/>
    <pivotField numFmtId="14" showAll="0"/>
    <pivotField dataField="1" numFmtId="2" showAll="0"/>
    <pivotField showAll="0"/>
  </pivotFields>
  <rowFields count="1">
    <field x="6"/>
  </rowFields>
  <rowItems count="4">
    <i>
      <x/>
    </i>
    <i>
      <x v="1"/>
    </i>
    <i>
      <x v="2"/>
    </i>
    <i t="grand">
      <x/>
    </i>
  </rowItems>
  <colItems count="1">
    <i/>
  </colItems>
  <dataFields count="1">
    <dataField name="Sum of Total_Amount" fld="13" baseField="0" baseItem="0" numFmtId="2"/>
  </dataFields>
  <formats count="26">
    <format dxfId="795">
      <pivotArea type="all" dataOnly="0" outline="0" fieldPosition="0"/>
    </format>
    <format dxfId="794">
      <pivotArea outline="0" collapsedLevelsAreSubtotals="1" fieldPosition="0"/>
    </format>
    <format dxfId="793">
      <pivotArea field="6" type="button" dataOnly="0" labelOnly="1" outline="0" axis="axisRow" fieldPosition="0"/>
    </format>
    <format dxfId="792">
      <pivotArea dataOnly="0" labelOnly="1" fieldPosition="0">
        <references count="1">
          <reference field="6" count="0"/>
        </references>
      </pivotArea>
    </format>
    <format dxfId="791">
      <pivotArea dataOnly="0" labelOnly="1" grandRow="1" outline="0" fieldPosition="0"/>
    </format>
    <format dxfId="790">
      <pivotArea dataOnly="0" labelOnly="1" outline="0" axis="axisValues" fieldPosition="0"/>
    </format>
    <format dxfId="789">
      <pivotArea type="all" dataOnly="0" outline="0" fieldPosition="0"/>
    </format>
    <format dxfId="788">
      <pivotArea outline="0" collapsedLevelsAreSubtotals="1" fieldPosition="0"/>
    </format>
    <format dxfId="787">
      <pivotArea field="6" type="button" dataOnly="0" labelOnly="1" outline="0" axis="axisRow" fieldPosition="0"/>
    </format>
    <format dxfId="786">
      <pivotArea dataOnly="0" labelOnly="1" fieldPosition="0">
        <references count="1">
          <reference field="6" count="0"/>
        </references>
      </pivotArea>
    </format>
    <format dxfId="785">
      <pivotArea dataOnly="0" labelOnly="1" grandRow="1" outline="0" fieldPosition="0"/>
    </format>
    <format dxfId="784">
      <pivotArea dataOnly="0" labelOnly="1" outline="0" axis="axisValues" fieldPosition="0"/>
    </format>
    <format dxfId="783">
      <pivotArea type="all" dataOnly="0" outline="0" fieldPosition="0"/>
    </format>
    <format dxfId="782">
      <pivotArea outline="0" collapsedLevelsAreSubtotals="1" fieldPosition="0"/>
    </format>
    <format dxfId="781">
      <pivotArea field="6" type="button" dataOnly="0" labelOnly="1" outline="0" axis="axisRow" fieldPosition="0"/>
    </format>
    <format dxfId="780">
      <pivotArea dataOnly="0" labelOnly="1" fieldPosition="0">
        <references count="1">
          <reference field="6" count="0"/>
        </references>
      </pivotArea>
    </format>
    <format dxfId="779">
      <pivotArea dataOnly="0" labelOnly="1" grandRow="1" outline="0" fieldPosition="0"/>
    </format>
    <format dxfId="778">
      <pivotArea dataOnly="0" labelOnly="1" outline="0" axis="axisValues" fieldPosition="0"/>
    </format>
    <format dxfId="777">
      <pivotArea type="all" dataOnly="0" outline="0" fieldPosition="0"/>
    </format>
    <format dxfId="776">
      <pivotArea outline="0" collapsedLevelsAreSubtotals="1" fieldPosition="0"/>
    </format>
    <format dxfId="775">
      <pivotArea field="6" type="button" dataOnly="0" labelOnly="1" outline="0" axis="axisRow" fieldPosition="0"/>
    </format>
    <format dxfId="774">
      <pivotArea dataOnly="0" labelOnly="1" fieldPosition="0">
        <references count="1">
          <reference field="6" count="0"/>
        </references>
      </pivotArea>
    </format>
    <format dxfId="773">
      <pivotArea dataOnly="0" labelOnly="1" grandRow="1" outline="0" fieldPosition="0"/>
    </format>
    <format dxfId="772">
      <pivotArea dataOnly="0" labelOnly="1" outline="0" axis="axisValues" fieldPosition="0"/>
    </format>
    <format dxfId="771">
      <pivotArea collapsedLevelsAreSubtotals="1" fieldPosition="0">
        <references count="1">
          <reference field="6" count="0"/>
        </references>
      </pivotArea>
    </format>
    <format dxfId="770">
      <pivotArea dataOnly="0" labelOnly="1" fieldPosition="0">
        <references count="1">
          <reference field="6" count="0"/>
        </references>
      </pivotArea>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1"/>
          </reference>
        </references>
      </pivotArea>
    </chartFormat>
    <chartFormat chart="2" format="2">
      <pivotArea type="data" outline="0" fieldPosition="0">
        <references count="2">
          <reference field="4294967294" count="1" selected="0">
            <x v="0"/>
          </reference>
          <reference field="6" count="1" selected="0">
            <x v="2"/>
          </reference>
        </references>
      </pivotArea>
    </chartFormat>
    <chartFormat chart="2" format="3">
      <pivotArea type="data" outline="0" fieldPosition="0">
        <references count="2">
          <reference field="4294967294" count="1" selected="0">
            <x v="0"/>
          </reference>
          <reference field="6"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6" count="1" selected="0">
            <x v="0"/>
          </reference>
        </references>
      </pivotArea>
    </chartFormat>
    <chartFormat chart="7" format="10">
      <pivotArea type="data" outline="0" fieldPosition="0">
        <references count="2">
          <reference field="4294967294" count="1" selected="0">
            <x v="0"/>
          </reference>
          <reference field="6" count="1" selected="0">
            <x v="1"/>
          </reference>
        </references>
      </pivotArea>
    </chartFormat>
    <chartFormat chart="7"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filters count="1">
    <filter fld="1" type="dateBetween" evalOrder="-1" id="138"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2E449B-6891-4FE2-8787-33CEE6778C92}"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B4:C15" firstHeaderRow="1" firstDataRow="1" firstDataCol="1"/>
  <pivotFields count="15">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pivotField dataField="1" numFmtId="1" showAll="0"/>
    <pivotField numFmtId="2" showAll="0"/>
    <pivotField showAll="0"/>
    <pivotField showAll="0">
      <items count="6">
        <item x="0"/>
        <item x="4"/>
        <item x="2"/>
        <item x="1"/>
        <item x="3"/>
        <item t="default"/>
      </items>
    </pivotField>
    <pivotField showAll="0"/>
    <pivotField numFmtId="14" showAll="0"/>
    <pivotField numFmtId="2" showAll="0"/>
    <pivotField showAll="0"/>
  </pivotFields>
  <rowFields count="1">
    <field x="5"/>
  </rowFields>
  <rowItems count="11">
    <i>
      <x/>
    </i>
    <i>
      <x v="1"/>
    </i>
    <i>
      <x v="2"/>
    </i>
    <i>
      <x v="3"/>
    </i>
    <i>
      <x v="4"/>
    </i>
    <i>
      <x v="5"/>
    </i>
    <i>
      <x v="6"/>
    </i>
    <i>
      <x v="7"/>
    </i>
    <i>
      <x v="8"/>
    </i>
    <i>
      <x v="9"/>
    </i>
    <i t="grand">
      <x/>
    </i>
  </rowItems>
  <colItems count="1">
    <i/>
  </colItems>
  <dataFields count="1">
    <dataField name="Sum of Quantity" fld="7" baseField="0" baseItem="0" numFmtId="1"/>
  </dataFields>
  <formats count="24">
    <format dxfId="819">
      <pivotArea type="all" dataOnly="0" outline="0" fieldPosition="0"/>
    </format>
    <format dxfId="818">
      <pivotArea outline="0" collapsedLevelsAreSubtotals="1" fieldPosition="0"/>
    </format>
    <format dxfId="817">
      <pivotArea field="5" type="button" dataOnly="0" labelOnly="1" outline="0" axis="axisRow" fieldPosition="0"/>
    </format>
    <format dxfId="816">
      <pivotArea dataOnly="0" labelOnly="1" fieldPosition="0">
        <references count="1">
          <reference field="5" count="0"/>
        </references>
      </pivotArea>
    </format>
    <format dxfId="815">
      <pivotArea dataOnly="0" labelOnly="1" grandRow="1" outline="0" fieldPosition="0"/>
    </format>
    <format dxfId="814">
      <pivotArea dataOnly="0" labelOnly="1" outline="0" axis="axisValues" fieldPosition="0"/>
    </format>
    <format dxfId="813">
      <pivotArea type="all" dataOnly="0" outline="0" fieldPosition="0"/>
    </format>
    <format dxfId="812">
      <pivotArea outline="0" collapsedLevelsAreSubtotals="1" fieldPosition="0"/>
    </format>
    <format dxfId="811">
      <pivotArea field="5" type="button" dataOnly="0" labelOnly="1" outline="0" axis="axisRow" fieldPosition="0"/>
    </format>
    <format dxfId="810">
      <pivotArea dataOnly="0" labelOnly="1" fieldPosition="0">
        <references count="1">
          <reference field="5" count="0"/>
        </references>
      </pivotArea>
    </format>
    <format dxfId="809">
      <pivotArea dataOnly="0" labelOnly="1" grandRow="1" outline="0" fieldPosition="0"/>
    </format>
    <format dxfId="808">
      <pivotArea dataOnly="0" labelOnly="1" outline="0" axis="axisValues" fieldPosition="0"/>
    </format>
    <format dxfId="807">
      <pivotArea type="all" dataOnly="0" outline="0" fieldPosition="0"/>
    </format>
    <format dxfId="806">
      <pivotArea outline="0" collapsedLevelsAreSubtotals="1" fieldPosition="0"/>
    </format>
    <format dxfId="805">
      <pivotArea field="5" type="button" dataOnly="0" labelOnly="1" outline="0" axis="axisRow" fieldPosition="0"/>
    </format>
    <format dxfId="804">
      <pivotArea dataOnly="0" labelOnly="1" fieldPosition="0">
        <references count="1">
          <reference field="5" count="0"/>
        </references>
      </pivotArea>
    </format>
    <format dxfId="803">
      <pivotArea dataOnly="0" labelOnly="1" grandRow="1" outline="0" fieldPosition="0"/>
    </format>
    <format dxfId="802">
      <pivotArea dataOnly="0" labelOnly="1" outline="0" axis="axisValues" fieldPosition="0"/>
    </format>
    <format dxfId="801">
      <pivotArea type="all" dataOnly="0" outline="0" fieldPosition="0"/>
    </format>
    <format dxfId="800">
      <pivotArea outline="0" collapsedLevelsAreSubtotals="1" fieldPosition="0"/>
    </format>
    <format dxfId="799">
      <pivotArea field="5" type="button" dataOnly="0" labelOnly="1" outline="0" axis="axisRow" fieldPosition="0"/>
    </format>
    <format dxfId="798">
      <pivotArea dataOnly="0" labelOnly="1" fieldPosition="0">
        <references count="1">
          <reference field="5" count="0"/>
        </references>
      </pivotArea>
    </format>
    <format dxfId="797">
      <pivotArea dataOnly="0" labelOnly="1" grandRow="1" outline="0" fieldPosition="0"/>
    </format>
    <format dxfId="796">
      <pivotArea dataOnly="0" labelOnly="1" outline="0" axis="axisValues" fieldPosition="0"/>
    </format>
  </format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38"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EA4E04-BB29-4F13-A0F6-2C726715A291}"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94:C100" firstHeaderRow="1" firstDataRow="1" firstDataCol="1"/>
  <pivotFields count="15">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measureFilter="1">
      <items count="51">
        <item x="49"/>
        <item x="25"/>
        <item x="4"/>
        <item x="31"/>
        <item x="47"/>
        <item x="24"/>
        <item x="35"/>
        <item x="27"/>
        <item x="7"/>
        <item x="15"/>
        <item x="44"/>
        <item x="18"/>
        <item x="1"/>
        <item x="21"/>
        <item x="45"/>
        <item x="39"/>
        <item x="6"/>
        <item x="17"/>
        <item x="29"/>
        <item x="36"/>
        <item x="2"/>
        <item x="9"/>
        <item x="0"/>
        <item x="5"/>
        <item x="14"/>
        <item x="8"/>
        <item x="13"/>
        <item x="32"/>
        <item x="23"/>
        <item x="22"/>
        <item x="26"/>
        <item x="42"/>
        <item x="37"/>
        <item x="41"/>
        <item x="28"/>
        <item x="20"/>
        <item x="48"/>
        <item x="12"/>
        <item x="40"/>
        <item x="30"/>
        <item x="10"/>
        <item x="43"/>
        <item x="11"/>
        <item x="19"/>
        <item x="46"/>
        <item x="3"/>
        <item x="38"/>
        <item x="16"/>
        <item x="34"/>
        <item x="33"/>
        <item t="default"/>
      </items>
    </pivotField>
    <pivotField showAll="0"/>
    <pivotField showAll="0"/>
    <pivotField showAll="0"/>
    <pivotField showAll="0"/>
    <pivotField numFmtId="1" showAll="0"/>
    <pivotField numFmtId="2" showAll="0"/>
    <pivotField showAll="0"/>
    <pivotField axis="axisRow" showAll="0">
      <items count="6">
        <item x="0"/>
        <item x="4"/>
        <item x="2"/>
        <item x="1"/>
        <item x="3"/>
        <item t="default"/>
      </items>
    </pivotField>
    <pivotField showAll="0"/>
    <pivotField numFmtId="14" showAll="0"/>
    <pivotField dataField="1" numFmtId="2" showAll="0"/>
    <pivotField showAll="0"/>
  </pivotFields>
  <rowFields count="1">
    <field x="10"/>
  </rowFields>
  <rowItems count="6">
    <i>
      <x/>
    </i>
    <i>
      <x v="1"/>
    </i>
    <i>
      <x v="2"/>
    </i>
    <i>
      <x v="3"/>
    </i>
    <i>
      <x v="4"/>
    </i>
    <i t="grand">
      <x/>
    </i>
  </rowItems>
  <colItems count="1">
    <i/>
  </colItems>
  <dataFields count="1">
    <dataField name="Sum of Total_Amount" fld="13" baseField="0" baseItem="0" numFmtId="2"/>
  </dataFields>
  <formats count="22">
    <format dxfId="841">
      <pivotArea type="all" dataOnly="0" outline="0" fieldPosition="0"/>
    </format>
    <format dxfId="840">
      <pivotArea outline="0" collapsedLevelsAreSubtotals="1" fieldPosition="0"/>
    </format>
    <format dxfId="839">
      <pivotArea field="2" type="button" dataOnly="0" labelOnly="1" outline="0"/>
    </format>
    <format dxfId="838">
      <pivotArea dataOnly="0" labelOnly="1" grandRow="1" outline="0" fieldPosition="0"/>
    </format>
    <format dxfId="837">
      <pivotArea dataOnly="0" labelOnly="1" outline="0" axis="axisValues" fieldPosition="0"/>
    </format>
    <format dxfId="836">
      <pivotArea type="all" dataOnly="0" outline="0" fieldPosition="0"/>
    </format>
    <format dxfId="835">
      <pivotArea outline="0" collapsedLevelsAreSubtotals="1" fieldPosition="0"/>
    </format>
    <format dxfId="834">
      <pivotArea field="2" type="button" dataOnly="0" labelOnly="1" outline="0"/>
    </format>
    <format dxfId="833">
      <pivotArea dataOnly="0" labelOnly="1" grandRow="1" outline="0" fieldPosition="0"/>
    </format>
    <format dxfId="832">
      <pivotArea dataOnly="0" labelOnly="1" outline="0" axis="axisValues" fieldPosition="0"/>
    </format>
    <format dxfId="831">
      <pivotArea type="all" dataOnly="0" outline="0" fieldPosition="0"/>
    </format>
    <format dxfId="830">
      <pivotArea outline="0" collapsedLevelsAreSubtotals="1" fieldPosition="0"/>
    </format>
    <format dxfId="829">
      <pivotArea field="2" type="button" dataOnly="0" labelOnly="1" outline="0"/>
    </format>
    <format dxfId="828">
      <pivotArea dataOnly="0" labelOnly="1" grandRow="1" outline="0" fieldPosition="0"/>
    </format>
    <format dxfId="827">
      <pivotArea dataOnly="0" labelOnly="1" outline="0" axis="axisValues" fieldPosition="0"/>
    </format>
    <format dxfId="826">
      <pivotArea type="all" dataOnly="0" outline="0" fieldPosition="0"/>
    </format>
    <format dxfId="825">
      <pivotArea outline="0" collapsedLevelsAreSubtotals="1" fieldPosition="0"/>
    </format>
    <format dxfId="824">
      <pivotArea field="2" type="button" dataOnly="0" labelOnly="1" outline="0"/>
    </format>
    <format dxfId="823">
      <pivotArea dataOnly="0" labelOnly="1" grandRow="1" outline="0" fieldPosition="0"/>
    </format>
    <format dxfId="822">
      <pivotArea dataOnly="0" labelOnly="1" outline="0" axis="axisValues" fieldPosition="0"/>
    </format>
    <format dxfId="821">
      <pivotArea collapsedLevelsAreSubtotals="1" fieldPosition="0">
        <references count="1">
          <reference field="10" count="0"/>
        </references>
      </pivotArea>
    </format>
    <format dxfId="820">
      <pivotArea dataOnly="0" labelOnly="1" fieldPosition="0">
        <references count="1">
          <reference field="10" count="0"/>
        </references>
      </pivotArea>
    </format>
  </formats>
  <pivotTableStyleInfo name="PivotStyleLight16" showRowHeaders="1" showColHeaders="1" showRowStripes="0" showColStripes="0" showLastColumn="1"/>
  <filters count="2">
    <filter fld="1" type="dateBetween" evalOrder="-1" id="139"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3E7E02-6AC6-44AA-8060-BF1283E586C8}"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80:C86" firstHeaderRow="1" firstDataRow="1" firstDataCol="1"/>
  <pivotFields count="15">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axis="axisRow" showAll="0" measureFilter="1">
      <items count="51">
        <item x="49"/>
        <item x="25"/>
        <item x="4"/>
        <item x="31"/>
        <item x="47"/>
        <item x="24"/>
        <item x="35"/>
        <item x="27"/>
        <item x="7"/>
        <item x="15"/>
        <item x="44"/>
        <item x="18"/>
        <item x="1"/>
        <item x="21"/>
        <item x="45"/>
        <item x="39"/>
        <item x="6"/>
        <item x="17"/>
        <item x="29"/>
        <item x="36"/>
        <item x="2"/>
        <item x="9"/>
        <item x="0"/>
        <item x="5"/>
        <item x="14"/>
        <item x="8"/>
        <item x="13"/>
        <item x="32"/>
        <item x="23"/>
        <item x="22"/>
        <item x="26"/>
        <item x="42"/>
        <item x="37"/>
        <item x="41"/>
        <item x="28"/>
        <item x="20"/>
        <item x="48"/>
        <item x="12"/>
        <item x="40"/>
        <item x="30"/>
        <item x="10"/>
        <item x="43"/>
        <item x="11"/>
        <item x="19"/>
        <item x="46"/>
        <item x="3"/>
        <item x="38"/>
        <item x="16"/>
        <item x="34"/>
        <item x="33"/>
        <item t="default"/>
      </items>
    </pivotField>
    <pivotField showAll="0"/>
    <pivotField showAll="0"/>
    <pivotField showAll="0"/>
    <pivotField showAll="0"/>
    <pivotField numFmtId="1" showAll="0"/>
    <pivotField numFmtId="2" showAll="0"/>
    <pivotField showAll="0"/>
    <pivotField showAll="0">
      <items count="6">
        <item x="0"/>
        <item x="4"/>
        <item x="2"/>
        <item x="1"/>
        <item x="3"/>
        <item t="default"/>
      </items>
    </pivotField>
    <pivotField showAll="0"/>
    <pivotField numFmtId="14" showAll="0"/>
    <pivotField dataField="1" numFmtId="2" showAll="0"/>
    <pivotField showAll="0"/>
  </pivotFields>
  <rowFields count="1">
    <field x="2"/>
  </rowFields>
  <rowItems count="6">
    <i>
      <x v="11"/>
    </i>
    <i>
      <x v="17"/>
    </i>
    <i>
      <x v="22"/>
    </i>
    <i>
      <x v="24"/>
    </i>
    <i>
      <x v="28"/>
    </i>
    <i t="grand">
      <x/>
    </i>
  </rowItems>
  <colItems count="1">
    <i/>
  </colItems>
  <dataFields count="1">
    <dataField name="Sum of Total_Amount" fld="13" baseField="0" baseItem="0" numFmtId="2"/>
  </dataFields>
  <formats count="26">
    <format dxfId="867">
      <pivotArea type="all" dataOnly="0" outline="0" fieldPosition="0"/>
    </format>
    <format dxfId="866">
      <pivotArea outline="0" collapsedLevelsAreSubtotals="1" fieldPosition="0"/>
    </format>
    <format dxfId="865">
      <pivotArea field="2" type="button" dataOnly="0" labelOnly="1" outline="0" axis="axisRow" fieldPosition="0"/>
    </format>
    <format dxfId="864">
      <pivotArea dataOnly="0" labelOnly="1" fieldPosition="0">
        <references count="1">
          <reference field="2" count="0"/>
        </references>
      </pivotArea>
    </format>
    <format dxfId="863">
      <pivotArea dataOnly="0" labelOnly="1" grandRow="1" outline="0" fieldPosition="0"/>
    </format>
    <format dxfId="862">
      <pivotArea dataOnly="0" labelOnly="1" outline="0" axis="axisValues" fieldPosition="0"/>
    </format>
    <format dxfId="861">
      <pivotArea type="all" dataOnly="0" outline="0" fieldPosition="0"/>
    </format>
    <format dxfId="860">
      <pivotArea outline="0" collapsedLevelsAreSubtotals="1" fieldPosition="0"/>
    </format>
    <format dxfId="859">
      <pivotArea field="2" type="button" dataOnly="0" labelOnly="1" outline="0" axis="axisRow" fieldPosition="0"/>
    </format>
    <format dxfId="858">
      <pivotArea dataOnly="0" labelOnly="1" fieldPosition="0">
        <references count="1">
          <reference field="2" count="0"/>
        </references>
      </pivotArea>
    </format>
    <format dxfId="857">
      <pivotArea dataOnly="0" labelOnly="1" grandRow="1" outline="0" fieldPosition="0"/>
    </format>
    <format dxfId="856">
      <pivotArea dataOnly="0" labelOnly="1" outline="0" axis="axisValues" fieldPosition="0"/>
    </format>
    <format dxfId="855">
      <pivotArea type="all" dataOnly="0" outline="0" fieldPosition="0"/>
    </format>
    <format dxfId="854">
      <pivotArea outline="0" collapsedLevelsAreSubtotals="1" fieldPosition="0"/>
    </format>
    <format dxfId="853">
      <pivotArea field="2" type="button" dataOnly="0" labelOnly="1" outline="0" axis="axisRow" fieldPosition="0"/>
    </format>
    <format dxfId="852">
      <pivotArea dataOnly="0" labelOnly="1" fieldPosition="0">
        <references count="1">
          <reference field="2" count="0"/>
        </references>
      </pivotArea>
    </format>
    <format dxfId="851">
      <pivotArea dataOnly="0" labelOnly="1" grandRow="1" outline="0" fieldPosition="0"/>
    </format>
    <format dxfId="850">
      <pivotArea dataOnly="0" labelOnly="1" outline="0" axis="axisValues" fieldPosition="0"/>
    </format>
    <format dxfId="849">
      <pivotArea type="all" dataOnly="0" outline="0" fieldPosition="0"/>
    </format>
    <format dxfId="848">
      <pivotArea outline="0" collapsedLevelsAreSubtotals="1" fieldPosition="0"/>
    </format>
    <format dxfId="847">
      <pivotArea field="2" type="button" dataOnly="0" labelOnly="1" outline="0" axis="axisRow" fieldPosition="0"/>
    </format>
    <format dxfId="846">
      <pivotArea dataOnly="0" labelOnly="1" fieldPosition="0">
        <references count="1">
          <reference field="2" count="5">
            <x v="11"/>
            <x v="17"/>
            <x v="22"/>
            <x v="24"/>
            <x v="28"/>
          </reference>
        </references>
      </pivotArea>
    </format>
    <format dxfId="845">
      <pivotArea dataOnly="0" labelOnly="1" grandRow="1" outline="0" fieldPosition="0"/>
    </format>
    <format dxfId="844">
      <pivotArea dataOnly="0" labelOnly="1" outline="0" axis="axisValues" fieldPosition="0"/>
    </format>
    <format dxfId="843">
      <pivotArea collapsedLevelsAreSubtotals="1" fieldPosition="0">
        <references count="1">
          <reference field="2" count="5">
            <x v="11"/>
            <x v="17"/>
            <x v="22"/>
            <x v="24"/>
            <x v="28"/>
          </reference>
        </references>
      </pivotArea>
    </format>
    <format dxfId="842">
      <pivotArea dataOnly="0" labelOnly="1" fieldPosition="0">
        <references count="1">
          <reference field="2" count="5">
            <x v="11"/>
            <x v="17"/>
            <x v="22"/>
            <x v="24"/>
            <x v="28"/>
          </reference>
        </references>
      </pivotArea>
    </format>
  </formats>
  <pivotTableStyleInfo name="PivotStyleLight16" showRowHeaders="1" showColHeaders="1" showRowStripes="0" showColStripes="0" showLastColumn="1"/>
  <filters count="2">
    <filter fld="1" type="dateBetween" evalOrder="-1" id="139"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1EF585-EBE3-4353-BB97-D3F80E719C23}" sourceName="Region">
  <pivotTables>
    <pivotTable tabId="18" name="PivotTable15"/>
    <pivotTable tabId="18" name="PivotTable11"/>
    <pivotTable tabId="18" name="PivotTable14"/>
    <pivotTable tabId="18" name="PivotTable7"/>
    <pivotTable tabId="18" name="PivotTable8"/>
  </pivotTables>
  <data>
    <tabular pivotCacheId="757606980">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2777A27-0A40-4968-A155-0C5C180E4346}" cache="Slicer_Region" caption="Region"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3910FB-459B-4D97-A1AA-0D76E2246299}" name="Table2" displayName="Table2" ref="B4:P254" totalsRowShown="0" headerRowDxfId="887" dataDxfId="885" headerRowBorderDxfId="886" tableBorderDxfId="884" totalsRowBorderDxfId="883">
  <autoFilter ref="B4:P254" xr:uid="{C83910FB-459B-4D97-A1AA-0D76E2246299}"/>
  <tableColumns count="15">
    <tableColumn id="1" xr3:uid="{9361F945-8BDC-42A6-9EBC-29C2FA09953B}" name="Transaction_ID" dataDxfId="882"/>
    <tableColumn id="2" xr3:uid="{94E18B6A-82F9-47A7-B22D-9D02F62434F3}" name="Date" dataDxfId="881"/>
    <tableColumn id="3" xr3:uid="{ECF2D305-5C26-4F45-BA1F-98F86F323AD3}" name="Customer_ID" dataDxfId="880"/>
    <tableColumn id="4" xr3:uid="{6929BDA9-F6E2-4225-8D28-F59D8CCBD359}" name="Customer_Name" dataDxfId="879"/>
    <tableColumn id="5" xr3:uid="{7F25BBFD-6563-4D62-9283-87DB213406C7}" name="Product_ID" dataDxfId="878"/>
    <tableColumn id="6" xr3:uid="{97CF5E58-A90E-44F1-B7BA-BFCA4BDCA930}" name="Product_Name" dataDxfId="877"/>
    <tableColumn id="7" xr3:uid="{146F9A89-CAE6-4DF2-B6CE-CC66C90D558A}" name="Category" dataDxfId="876"/>
    <tableColumn id="8" xr3:uid="{DE395BB9-30C0-4215-BF9F-04F8EA543B61}" name="Quantity" dataDxfId="875"/>
    <tableColumn id="9" xr3:uid="{09C496FB-DF8F-49B0-BF6D-ADD311AF0660}" name="Unit_Price" dataDxfId="874"/>
    <tableColumn id="10" xr3:uid="{4CE234BF-BD6E-4BD2-9DBA-93AD710D575E}" name="Payment_Method" dataDxfId="873"/>
    <tableColumn id="11" xr3:uid="{A05346EB-EBA2-4172-86EE-BB43F4EE20F7}" name="Region" dataDxfId="872"/>
    <tableColumn id="12" xr3:uid="{60B73771-7124-4C75-A37B-A86F746CC429}" name="Customer_Segment" dataDxfId="871"/>
    <tableColumn id="13" xr3:uid="{A9BA9918-9C5B-4122-A46A-B43E163C5A4B}" name="Customer_Since" dataDxfId="870"/>
    <tableColumn id="14" xr3:uid="{5D663F85-56B1-4F1E-A947-2A524C91B2E8}" name="Total_Amount" dataDxfId="869"/>
    <tableColumn id="15" xr3:uid="{449C7FC6-3C9C-4049-B41A-EC4A3145A99D}" name="MONTH" dataDxfId="868">
      <calculatedColumnFormula>TEXT(Table2[[#This Row],[Date]], "mm")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672D746-2182-452A-A67E-13381B1B624F}" sourceName="Date">
  <pivotTables>
    <pivotTable tabId="18" name="PivotTable11"/>
    <pivotTable tabId="18" name="PivotTable14"/>
    <pivotTable tabId="18" name="PivotTable15"/>
    <pivotTable tabId="18" name="PivotTable7"/>
    <pivotTable tabId="18" name="PivotTable8"/>
  </pivotTables>
  <state minimalRefreshVersion="6" lastRefreshVersion="6" pivotCacheId="757606980" filterType="dateBetween">
    <selection startDate="2024-01-01T00:00:00" endDate="2025-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7E022AA-8A22-4628-AAC6-FACE14218461}" cache="NativeTimeline_Date" caption="Date" level="2" selectionLevel="0" scrollPosition="2024-01-01T00:00:00" style="TimeSlicerStyleDark1"/>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38CD1-EBA1-4A25-A135-C61441CA053E}">
  <dimension ref="A1:A30"/>
  <sheetViews>
    <sheetView topLeftCell="A13" zoomScale="130" zoomScaleNormal="130" workbookViewId="0">
      <selection activeCell="A25" sqref="A25"/>
    </sheetView>
  </sheetViews>
  <sheetFormatPr defaultRowHeight="14.5" x14ac:dyDescent="0.35"/>
  <cols>
    <col min="1" max="1" width="97.90625" customWidth="1"/>
  </cols>
  <sheetData>
    <row r="1" spans="1:1" x14ac:dyDescent="0.35">
      <c r="A1" s="1" t="s">
        <v>0</v>
      </c>
    </row>
    <row r="2" spans="1:1" x14ac:dyDescent="0.35">
      <c r="A2" s="2" t="s">
        <v>1</v>
      </c>
    </row>
    <row r="3" spans="1:1" x14ac:dyDescent="0.35">
      <c r="A3" s="3"/>
    </row>
    <row r="4" spans="1:1" x14ac:dyDescent="0.35">
      <c r="A4" s="2" t="s">
        <v>2</v>
      </c>
    </row>
    <row r="5" spans="1:1" x14ac:dyDescent="0.35">
      <c r="A5" s="4" t="s">
        <v>3</v>
      </c>
    </row>
    <row r="6" spans="1:1" x14ac:dyDescent="0.35">
      <c r="A6" s="4" t="s">
        <v>4</v>
      </c>
    </row>
    <row r="7" spans="1:1" x14ac:dyDescent="0.35">
      <c r="A7" s="3" t="s">
        <v>5</v>
      </c>
    </row>
    <row r="8" spans="1:1" x14ac:dyDescent="0.35">
      <c r="A8" s="5" t="s">
        <v>6</v>
      </c>
    </row>
    <row r="9" spans="1:1" x14ac:dyDescent="0.35">
      <c r="A9" s="6" t="s">
        <v>7</v>
      </c>
    </row>
    <row r="10" spans="1:1" x14ac:dyDescent="0.35">
      <c r="A10" s="6" t="s">
        <v>8</v>
      </c>
    </row>
    <row r="11" spans="1:1" x14ac:dyDescent="0.35">
      <c r="A11" s="6" t="s">
        <v>9</v>
      </c>
    </row>
    <row r="12" spans="1:1" x14ac:dyDescent="0.35">
      <c r="A12" s="6" t="s">
        <v>10</v>
      </c>
    </row>
    <row r="13" spans="1:1" x14ac:dyDescent="0.35">
      <c r="A13" s="6" t="s">
        <v>11</v>
      </c>
    </row>
    <row r="14" spans="1:1" x14ac:dyDescent="0.35">
      <c r="A14" s="6" t="s">
        <v>12</v>
      </c>
    </row>
    <row r="15" spans="1:1" x14ac:dyDescent="0.35">
      <c r="A15" s="6" t="s">
        <v>13</v>
      </c>
    </row>
    <row r="16" spans="1:1" x14ac:dyDescent="0.35">
      <c r="A16" s="6" t="e" cm="1">
        <f t="array" ref="A16">- Use GroupBy concepts to find High-value Customers using formulas</f>
        <v>#NAME?</v>
      </c>
    </row>
    <row r="17" spans="1:1" x14ac:dyDescent="0.35">
      <c r="A17" s="6" t="s">
        <v>14</v>
      </c>
    </row>
    <row r="18" spans="1:1" x14ac:dyDescent="0.35">
      <c r="A18" s="6" t="s">
        <v>15</v>
      </c>
    </row>
    <row r="19" spans="1:1" x14ac:dyDescent="0.35">
      <c r="A19" s="6" t="s">
        <v>16</v>
      </c>
    </row>
    <row r="20" spans="1:1" x14ac:dyDescent="0.35">
      <c r="A20" s="6" t="s">
        <v>17</v>
      </c>
    </row>
    <row r="21" spans="1:1" x14ac:dyDescent="0.35">
      <c r="A21" s="6" t="s">
        <v>18</v>
      </c>
    </row>
    <row r="22" spans="1:1" x14ac:dyDescent="0.35">
      <c r="A22" s="6" t="s">
        <v>19</v>
      </c>
    </row>
    <row r="23" spans="1:1" x14ac:dyDescent="0.35">
      <c r="A23" s="6" t="s">
        <v>20</v>
      </c>
    </row>
    <row r="24" spans="1:1" x14ac:dyDescent="0.35">
      <c r="A24" s="6" t="s">
        <v>21</v>
      </c>
    </row>
    <row r="25" spans="1:1" x14ac:dyDescent="0.35">
      <c r="A25" s="6" t="s">
        <v>22</v>
      </c>
    </row>
    <row r="26" spans="1:1" x14ac:dyDescent="0.35">
      <c r="A26" s="3" t="s">
        <v>5</v>
      </c>
    </row>
    <row r="27" spans="1:1" x14ac:dyDescent="0.35">
      <c r="A27" s="2" t="s">
        <v>23</v>
      </c>
    </row>
    <row r="28" spans="1:1" x14ac:dyDescent="0.35">
      <c r="A28" s="4" t="s">
        <v>24</v>
      </c>
    </row>
    <row r="29" spans="1:1" x14ac:dyDescent="0.35">
      <c r="A29" s="4" t="s">
        <v>25</v>
      </c>
    </row>
    <row r="30" spans="1:1" x14ac:dyDescent="0.35">
      <c r="A30" s="4"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8446B-42C7-4F3E-8F53-9F4C5CC40EF6}">
  <dimension ref="A1:N251"/>
  <sheetViews>
    <sheetView workbookViewId="0"/>
  </sheetViews>
  <sheetFormatPr defaultRowHeight="14.5" x14ac:dyDescent="0.35"/>
  <cols>
    <col min="1" max="1" width="14" customWidth="1"/>
    <col min="2" max="2" width="13.81640625" customWidth="1"/>
    <col min="3" max="3" width="13.90625" customWidth="1"/>
    <col min="4" max="4" width="18.08984375" customWidth="1"/>
    <col min="5" max="5" width="13" customWidth="1"/>
    <col min="6" max="6" width="16.81640625" customWidth="1"/>
    <col min="7" max="7" width="14.453125" customWidth="1"/>
    <col min="8" max="8" width="10.08984375" customWidth="1"/>
    <col min="9" max="9" width="11.90625" customWidth="1"/>
    <col min="10" max="10" width="17.1796875" customWidth="1"/>
    <col min="11" max="11" width="9.90625" customWidth="1"/>
    <col min="12" max="12" width="17.81640625" customWidth="1"/>
    <col min="13" max="13" width="14.6328125" bestFit="1" customWidth="1"/>
    <col min="14" max="14" width="13.1796875" bestFit="1" customWidth="1"/>
  </cols>
  <sheetData>
    <row r="1" spans="1:14" ht="15" thickBot="1" x14ac:dyDescent="0.4">
      <c r="A1" s="11" t="s">
        <v>27</v>
      </c>
      <c r="B1" s="11" t="s">
        <v>28</v>
      </c>
      <c r="C1" s="11" t="s">
        <v>29</v>
      </c>
      <c r="D1" s="11" t="s">
        <v>30</v>
      </c>
      <c r="E1" s="11" t="s">
        <v>31</v>
      </c>
      <c r="F1" s="11" t="s">
        <v>32</v>
      </c>
      <c r="G1" s="11" t="s">
        <v>33</v>
      </c>
      <c r="H1" s="11" t="s">
        <v>34</v>
      </c>
      <c r="I1" s="11" t="s">
        <v>35</v>
      </c>
      <c r="J1" s="11" t="s">
        <v>36</v>
      </c>
      <c r="K1" s="11" t="s">
        <v>37</v>
      </c>
      <c r="L1" s="11" t="s">
        <v>38</v>
      </c>
      <c r="M1" s="11" t="s">
        <v>39</v>
      </c>
      <c r="N1" s="11" t="s">
        <v>40</v>
      </c>
    </row>
    <row r="2" spans="1:14" ht="15" thickBot="1" x14ac:dyDescent="0.4">
      <c r="A2" s="12" t="s">
        <v>41</v>
      </c>
      <c r="B2" s="13">
        <v>45393</v>
      </c>
      <c r="C2" s="12" t="s">
        <v>42</v>
      </c>
      <c r="D2" s="12" t="s">
        <v>43</v>
      </c>
      <c r="E2" s="12" t="s">
        <v>44</v>
      </c>
      <c r="F2" s="12" t="s">
        <v>45</v>
      </c>
      <c r="G2" s="12" t="s">
        <v>46</v>
      </c>
      <c r="H2" s="14">
        <v>3</v>
      </c>
      <c r="I2" s="14">
        <v>249.99</v>
      </c>
      <c r="J2" s="12" t="s">
        <v>47</v>
      </c>
      <c r="K2" s="12" t="s">
        <v>48</v>
      </c>
      <c r="L2" s="12" t="s">
        <v>49</v>
      </c>
      <c r="M2" s="13">
        <v>44425</v>
      </c>
      <c r="N2" s="14">
        <v>749.97</v>
      </c>
    </row>
    <row r="3" spans="1:14" ht="15" thickBot="1" x14ac:dyDescent="0.4">
      <c r="A3" s="12" t="s">
        <v>50</v>
      </c>
      <c r="B3" s="13">
        <v>45396</v>
      </c>
      <c r="C3" s="12" t="s">
        <v>51</v>
      </c>
      <c r="D3" s="12" t="s">
        <v>52</v>
      </c>
      <c r="E3" s="12" t="s">
        <v>44</v>
      </c>
      <c r="F3" s="12" t="s">
        <v>45</v>
      </c>
      <c r="G3" s="12" t="s">
        <v>46</v>
      </c>
      <c r="H3" s="14">
        <v>3</v>
      </c>
      <c r="I3" s="14">
        <v>249.99</v>
      </c>
      <c r="J3" s="12" t="s">
        <v>53</v>
      </c>
      <c r="K3" s="12" t="s">
        <v>48</v>
      </c>
      <c r="L3" s="12" t="s">
        <v>54</v>
      </c>
      <c r="M3" s="13">
        <v>44575</v>
      </c>
      <c r="N3" s="14">
        <v>749.97</v>
      </c>
    </row>
    <row r="4" spans="1:14" ht="15" thickBot="1" x14ac:dyDescent="0.4">
      <c r="A4" s="12" t="s">
        <v>55</v>
      </c>
      <c r="B4" s="13">
        <v>45399</v>
      </c>
      <c r="C4" s="12" t="s">
        <v>56</v>
      </c>
      <c r="D4" s="12" t="s">
        <v>57</v>
      </c>
      <c r="E4" s="12" t="s">
        <v>58</v>
      </c>
      <c r="F4" s="12" t="s">
        <v>59</v>
      </c>
      <c r="G4" s="12" t="s">
        <v>60</v>
      </c>
      <c r="H4" s="14">
        <v>3</v>
      </c>
      <c r="I4" s="14">
        <v>59.99</v>
      </c>
      <c r="J4" s="12" t="s">
        <v>61</v>
      </c>
      <c r="K4" s="12" t="s">
        <v>62</v>
      </c>
      <c r="L4" s="12" t="s">
        <v>63</v>
      </c>
      <c r="M4" s="13">
        <v>45262</v>
      </c>
      <c r="N4" s="14">
        <v>179.97</v>
      </c>
    </row>
    <row r="5" spans="1:14" ht="15" thickBot="1" x14ac:dyDescent="0.4">
      <c r="A5" s="12" t="s">
        <v>64</v>
      </c>
      <c r="B5" s="13">
        <v>45400</v>
      </c>
      <c r="C5" s="12" t="s">
        <v>65</v>
      </c>
      <c r="D5" s="12" t="s">
        <v>66</v>
      </c>
      <c r="E5" s="12" t="s">
        <v>58</v>
      </c>
      <c r="F5" s="12" t="s">
        <v>59</v>
      </c>
      <c r="G5" s="12" t="s">
        <v>60</v>
      </c>
      <c r="H5" s="14">
        <v>3</v>
      </c>
      <c r="I5" s="14">
        <v>59.99</v>
      </c>
      <c r="J5" s="12" t="s">
        <v>47</v>
      </c>
      <c r="K5" s="12" t="s">
        <v>67</v>
      </c>
      <c r="L5" s="12" t="s">
        <v>54</v>
      </c>
      <c r="M5" s="13">
        <v>45114</v>
      </c>
      <c r="N5" s="14">
        <v>179.97</v>
      </c>
    </row>
    <row r="6" spans="1:14" ht="15" thickBot="1" x14ac:dyDescent="0.4">
      <c r="A6" s="12" t="s">
        <v>68</v>
      </c>
      <c r="B6" s="13">
        <v>45400</v>
      </c>
      <c r="C6" s="12" t="s">
        <v>69</v>
      </c>
      <c r="D6" s="12" t="s">
        <v>70</v>
      </c>
      <c r="E6" s="12" t="s">
        <v>71</v>
      </c>
      <c r="F6" s="12" t="s">
        <v>72</v>
      </c>
      <c r="G6" s="12" t="s">
        <v>73</v>
      </c>
      <c r="H6" s="14">
        <v>5</v>
      </c>
      <c r="I6" s="14">
        <v>149.99</v>
      </c>
      <c r="J6" s="12" t="s">
        <v>53</v>
      </c>
      <c r="K6" s="12" t="s">
        <v>67</v>
      </c>
      <c r="L6" s="12" t="s">
        <v>54</v>
      </c>
      <c r="M6" s="13">
        <v>45295</v>
      </c>
      <c r="N6" s="14">
        <v>749.95</v>
      </c>
    </row>
    <row r="7" spans="1:14" ht="15" thickBot="1" x14ac:dyDescent="0.4">
      <c r="A7" s="12" t="s">
        <v>74</v>
      </c>
      <c r="B7" s="13">
        <v>45403</v>
      </c>
      <c r="C7" s="12" t="s">
        <v>75</v>
      </c>
      <c r="D7" s="12" t="s">
        <v>76</v>
      </c>
      <c r="E7" s="12" t="s">
        <v>58</v>
      </c>
      <c r="F7" s="12" t="s">
        <v>59</v>
      </c>
      <c r="G7" s="12" t="s">
        <v>60</v>
      </c>
      <c r="H7" s="14">
        <v>2</v>
      </c>
      <c r="I7" s="14">
        <v>59.99</v>
      </c>
      <c r="J7" s="12" t="s">
        <v>47</v>
      </c>
      <c r="K7" s="12" t="s">
        <v>77</v>
      </c>
      <c r="L7" s="12" t="s">
        <v>63</v>
      </c>
      <c r="M7" s="13">
        <v>44746</v>
      </c>
      <c r="N7" s="14">
        <v>119.98</v>
      </c>
    </row>
    <row r="8" spans="1:14" ht="15" thickBot="1" x14ac:dyDescent="0.4">
      <c r="A8" s="12" t="s">
        <v>78</v>
      </c>
      <c r="B8" s="13">
        <v>45403</v>
      </c>
      <c r="C8" s="12" t="s">
        <v>75</v>
      </c>
      <c r="D8" s="12" t="s">
        <v>76</v>
      </c>
      <c r="E8" s="12" t="s">
        <v>79</v>
      </c>
      <c r="F8" s="12" t="s">
        <v>80</v>
      </c>
      <c r="G8" s="12" t="s">
        <v>46</v>
      </c>
      <c r="H8" s="14">
        <v>5</v>
      </c>
      <c r="I8" s="14">
        <v>149.99</v>
      </c>
      <c r="J8" s="12" t="s">
        <v>53</v>
      </c>
      <c r="K8" s="12" t="s">
        <v>48</v>
      </c>
      <c r="L8" s="12" t="s">
        <v>63</v>
      </c>
      <c r="M8" s="13">
        <v>44418</v>
      </c>
      <c r="N8" s="14">
        <v>749.95</v>
      </c>
    </row>
    <row r="9" spans="1:14" ht="15" thickBot="1" x14ac:dyDescent="0.4">
      <c r="A9" s="12" t="s">
        <v>81</v>
      </c>
      <c r="B9" s="13">
        <v>45403</v>
      </c>
      <c r="C9" s="12" t="s">
        <v>82</v>
      </c>
      <c r="D9" s="12" t="s">
        <v>83</v>
      </c>
      <c r="E9" s="12" t="s">
        <v>58</v>
      </c>
      <c r="F9" s="12" t="s">
        <v>59</v>
      </c>
      <c r="G9" s="12" t="s">
        <v>60</v>
      </c>
      <c r="H9" s="14">
        <v>3</v>
      </c>
      <c r="I9" s="14">
        <v>59.99</v>
      </c>
      <c r="J9" s="12" t="s">
        <v>84</v>
      </c>
      <c r="K9" s="12" t="s">
        <v>62</v>
      </c>
      <c r="L9" s="12" t="s">
        <v>49</v>
      </c>
      <c r="M9" s="13">
        <v>45007</v>
      </c>
      <c r="N9" s="14">
        <v>179.97</v>
      </c>
    </row>
    <row r="10" spans="1:14" ht="15" thickBot="1" x14ac:dyDescent="0.4">
      <c r="A10" s="12" t="s">
        <v>85</v>
      </c>
      <c r="B10" s="13">
        <v>45405</v>
      </c>
      <c r="C10" s="12" t="s">
        <v>86</v>
      </c>
      <c r="D10" s="12" t="s">
        <v>87</v>
      </c>
      <c r="E10" s="12" t="s">
        <v>88</v>
      </c>
      <c r="F10" s="12" t="s">
        <v>89</v>
      </c>
      <c r="G10" s="12" t="s">
        <v>46</v>
      </c>
      <c r="H10" s="14">
        <v>3</v>
      </c>
      <c r="I10" s="14">
        <v>899.99</v>
      </c>
      <c r="J10" s="12" t="s">
        <v>61</v>
      </c>
      <c r="K10" s="12" t="s">
        <v>90</v>
      </c>
      <c r="L10" s="12" t="s">
        <v>63</v>
      </c>
      <c r="M10" s="13">
        <v>45299</v>
      </c>
      <c r="N10" s="14">
        <v>2699.97</v>
      </c>
    </row>
    <row r="11" spans="1:14" ht="15" thickBot="1" x14ac:dyDescent="0.4">
      <c r="A11" s="12" t="s">
        <v>91</v>
      </c>
      <c r="B11" s="13">
        <v>45408</v>
      </c>
      <c r="C11" s="12" t="s">
        <v>92</v>
      </c>
      <c r="D11" s="12" t="s">
        <v>93</v>
      </c>
      <c r="E11" s="12" t="s">
        <v>58</v>
      </c>
      <c r="F11" s="12" t="s">
        <v>59</v>
      </c>
      <c r="G11" s="12" t="s">
        <v>60</v>
      </c>
      <c r="H11" s="14">
        <v>3</v>
      </c>
      <c r="I11" s="14">
        <v>59.99</v>
      </c>
      <c r="J11" s="12" t="s">
        <v>47</v>
      </c>
      <c r="K11" s="12" t="s">
        <v>77</v>
      </c>
      <c r="L11" s="12" t="s">
        <v>54</v>
      </c>
      <c r="M11" s="13">
        <v>45207</v>
      </c>
      <c r="N11" s="14">
        <v>179.97</v>
      </c>
    </row>
    <row r="12" spans="1:14" ht="15" thickBot="1" x14ac:dyDescent="0.4">
      <c r="A12" s="12" t="s">
        <v>94</v>
      </c>
      <c r="B12" s="13">
        <v>45408</v>
      </c>
      <c r="C12" s="12" t="s">
        <v>95</v>
      </c>
      <c r="D12" s="12" t="s">
        <v>96</v>
      </c>
      <c r="E12" s="12" t="s">
        <v>71</v>
      </c>
      <c r="F12" s="12" t="s">
        <v>72</v>
      </c>
      <c r="G12" s="12" t="s">
        <v>73</v>
      </c>
      <c r="H12" s="14">
        <v>1</v>
      </c>
      <c r="I12" s="14">
        <v>149.99</v>
      </c>
      <c r="J12" s="12" t="s">
        <v>53</v>
      </c>
      <c r="K12" s="12" t="s">
        <v>77</v>
      </c>
      <c r="L12" s="12" t="s">
        <v>63</v>
      </c>
      <c r="M12" s="13">
        <v>45103</v>
      </c>
      <c r="N12" s="14">
        <v>149.99</v>
      </c>
    </row>
    <row r="13" spans="1:14" ht="15" thickBot="1" x14ac:dyDescent="0.4">
      <c r="A13" s="12" t="s">
        <v>97</v>
      </c>
      <c r="B13" s="13">
        <v>45408</v>
      </c>
      <c r="C13" s="12" t="s">
        <v>65</v>
      </c>
      <c r="D13" s="12" t="s">
        <v>66</v>
      </c>
      <c r="E13" s="12" t="s">
        <v>71</v>
      </c>
      <c r="F13" s="12" t="s">
        <v>72</v>
      </c>
      <c r="G13" s="12" t="s">
        <v>73</v>
      </c>
      <c r="H13" s="14">
        <v>5</v>
      </c>
      <c r="I13" s="14">
        <v>149.99</v>
      </c>
      <c r="J13" s="12" t="s">
        <v>84</v>
      </c>
      <c r="K13" s="12" t="s">
        <v>67</v>
      </c>
      <c r="L13" s="12" t="s">
        <v>49</v>
      </c>
      <c r="M13" s="13">
        <v>44830</v>
      </c>
      <c r="N13" s="14">
        <v>749.95</v>
      </c>
    </row>
    <row r="14" spans="1:14" ht="15" thickBot="1" x14ac:dyDescent="0.4">
      <c r="A14" s="12" t="s">
        <v>98</v>
      </c>
      <c r="B14" s="13">
        <v>45408</v>
      </c>
      <c r="C14" s="12" t="s">
        <v>99</v>
      </c>
      <c r="D14" s="12" t="s">
        <v>100</v>
      </c>
      <c r="E14" s="12" t="s">
        <v>71</v>
      </c>
      <c r="F14" s="12" t="s">
        <v>72</v>
      </c>
      <c r="G14" s="12" t="s">
        <v>73</v>
      </c>
      <c r="H14" s="14">
        <v>3</v>
      </c>
      <c r="I14" s="14">
        <v>149.99</v>
      </c>
      <c r="J14" s="12" t="s">
        <v>47</v>
      </c>
      <c r="K14" s="12" t="s">
        <v>67</v>
      </c>
      <c r="L14" s="12" t="s">
        <v>54</v>
      </c>
      <c r="M14" s="13">
        <v>44806</v>
      </c>
      <c r="N14" s="14">
        <v>449.97</v>
      </c>
    </row>
    <row r="15" spans="1:14" ht="15" thickBot="1" x14ac:dyDescent="0.4">
      <c r="A15" s="12" t="s">
        <v>101</v>
      </c>
      <c r="B15" s="13">
        <v>45409</v>
      </c>
      <c r="C15" s="12" t="s">
        <v>102</v>
      </c>
      <c r="D15" s="12" t="s">
        <v>103</v>
      </c>
      <c r="E15" s="12" t="s">
        <v>58</v>
      </c>
      <c r="F15" s="12" t="s">
        <v>59</v>
      </c>
      <c r="G15" s="12" t="s">
        <v>60</v>
      </c>
      <c r="H15" s="14">
        <v>3</v>
      </c>
      <c r="I15" s="14">
        <v>59.99</v>
      </c>
      <c r="J15" s="12" t="s">
        <v>53</v>
      </c>
      <c r="K15" s="12" t="s">
        <v>67</v>
      </c>
      <c r="L15" s="12" t="s">
        <v>63</v>
      </c>
      <c r="M15" s="13">
        <v>45351</v>
      </c>
      <c r="N15" s="14">
        <v>179.97</v>
      </c>
    </row>
    <row r="16" spans="1:14" ht="15" thickBot="1" x14ac:dyDescent="0.4">
      <c r="A16" s="12" t="s">
        <v>104</v>
      </c>
      <c r="B16" s="13">
        <v>45409</v>
      </c>
      <c r="C16" s="12" t="s">
        <v>105</v>
      </c>
      <c r="D16" s="12" t="s">
        <v>106</v>
      </c>
      <c r="E16" s="12" t="s">
        <v>107</v>
      </c>
      <c r="F16" s="12" t="s">
        <v>108</v>
      </c>
      <c r="G16" s="12" t="s">
        <v>46</v>
      </c>
      <c r="H16" s="14">
        <v>3</v>
      </c>
      <c r="I16" s="14">
        <v>699.99</v>
      </c>
      <c r="J16" s="12" t="s">
        <v>53</v>
      </c>
      <c r="K16" s="12" t="s">
        <v>77</v>
      </c>
      <c r="L16" s="12" t="s">
        <v>49</v>
      </c>
      <c r="M16" s="13">
        <v>44577</v>
      </c>
      <c r="N16" s="14">
        <v>2099.9699999999998</v>
      </c>
    </row>
    <row r="17" spans="1:14" ht="15" thickBot="1" x14ac:dyDescent="0.4">
      <c r="A17" s="12" t="s">
        <v>109</v>
      </c>
      <c r="B17" s="13">
        <v>45409</v>
      </c>
      <c r="C17" s="12" t="s">
        <v>110</v>
      </c>
      <c r="D17" s="12" t="s">
        <v>111</v>
      </c>
      <c r="E17" s="12" t="s">
        <v>88</v>
      </c>
      <c r="F17" s="12" t="s">
        <v>89</v>
      </c>
      <c r="G17" s="12" t="s">
        <v>46</v>
      </c>
      <c r="H17" s="14">
        <v>1</v>
      </c>
      <c r="I17" s="14">
        <v>899.99</v>
      </c>
      <c r="J17" s="12" t="s">
        <v>84</v>
      </c>
      <c r="K17" s="12" t="s">
        <v>67</v>
      </c>
      <c r="L17" s="12" t="s">
        <v>63</v>
      </c>
      <c r="M17" s="13">
        <v>44920</v>
      </c>
      <c r="N17" s="14">
        <v>899.99</v>
      </c>
    </row>
    <row r="18" spans="1:14" ht="15" thickBot="1" x14ac:dyDescent="0.4">
      <c r="A18" s="12" t="s">
        <v>112</v>
      </c>
      <c r="B18" s="13">
        <v>45410</v>
      </c>
      <c r="C18" s="12" t="s">
        <v>113</v>
      </c>
      <c r="D18" s="12" t="s">
        <v>114</v>
      </c>
      <c r="E18" s="12" t="s">
        <v>71</v>
      </c>
      <c r="F18" s="12" t="s">
        <v>72</v>
      </c>
      <c r="G18" s="12" t="s">
        <v>73</v>
      </c>
      <c r="H18" s="14">
        <v>4</v>
      </c>
      <c r="I18" s="14">
        <v>149.99</v>
      </c>
      <c r="J18" s="12" t="s">
        <v>84</v>
      </c>
      <c r="K18" s="12" t="s">
        <v>67</v>
      </c>
      <c r="L18" s="12" t="s">
        <v>54</v>
      </c>
      <c r="M18" s="13">
        <v>45374</v>
      </c>
      <c r="N18" s="14">
        <v>599.96</v>
      </c>
    </row>
    <row r="19" spans="1:14" ht="15" thickBot="1" x14ac:dyDescent="0.4">
      <c r="A19" s="12" t="s">
        <v>115</v>
      </c>
      <c r="B19" s="13">
        <v>45410</v>
      </c>
      <c r="C19" s="12" t="s">
        <v>116</v>
      </c>
      <c r="D19" s="12" t="s">
        <v>117</v>
      </c>
      <c r="E19" s="12" t="s">
        <v>107</v>
      </c>
      <c r="F19" s="12" t="s">
        <v>108</v>
      </c>
      <c r="G19" s="12" t="s">
        <v>46</v>
      </c>
      <c r="H19" s="14">
        <v>2</v>
      </c>
      <c r="I19" s="14">
        <v>699.99</v>
      </c>
      <c r="J19" s="12" t="s">
        <v>47</v>
      </c>
      <c r="K19" s="12" t="s">
        <v>67</v>
      </c>
      <c r="L19" s="12" t="s">
        <v>49</v>
      </c>
      <c r="M19" s="13">
        <v>44781</v>
      </c>
      <c r="N19" s="14">
        <v>1399.98</v>
      </c>
    </row>
    <row r="20" spans="1:14" ht="15" thickBot="1" x14ac:dyDescent="0.4">
      <c r="A20" s="12" t="s">
        <v>118</v>
      </c>
      <c r="B20" s="13">
        <v>45410</v>
      </c>
      <c r="C20" s="12" t="s">
        <v>113</v>
      </c>
      <c r="D20" s="12" t="s">
        <v>114</v>
      </c>
      <c r="E20" s="12" t="s">
        <v>88</v>
      </c>
      <c r="F20" s="12" t="s">
        <v>89</v>
      </c>
      <c r="G20" s="12" t="s">
        <v>46</v>
      </c>
      <c r="H20" s="14">
        <v>4</v>
      </c>
      <c r="I20" s="14">
        <v>899.99</v>
      </c>
      <c r="J20" s="12" t="s">
        <v>53</v>
      </c>
      <c r="K20" s="12" t="s">
        <v>77</v>
      </c>
      <c r="L20" s="12" t="s">
        <v>63</v>
      </c>
      <c r="M20" s="13">
        <v>45327</v>
      </c>
      <c r="N20" s="14">
        <v>3599.96</v>
      </c>
    </row>
    <row r="21" spans="1:14" ht="15" thickBot="1" x14ac:dyDescent="0.4">
      <c r="A21" s="12" t="s">
        <v>119</v>
      </c>
      <c r="B21" s="13">
        <v>45410</v>
      </c>
      <c r="C21" s="12" t="s">
        <v>120</v>
      </c>
      <c r="D21" s="12" t="s">
        <v>121</v>
      </c>
      <c r="E21" s="12" t="s">
        <v>44</v>
      </c>
      <c r="F21" s="12" t="s">
        <v>45</v>
      </c>
      <c r="G21" s="12" t="s">
        <v>46</v>
      </c>
      <c r="H21" s="14">
        <v>3</v>
      </c>
      <c r="I21" s="14">
        <v>249.99</v>
      </c>
      <c r="J21" s="12" t="s">
        <v>53</v>
      </c>
      <c r="K21" s="12" t="s">
        <v>67</v>
      </c>
      <c r="L21" s="12" t="s">
        <v>54</v>
      </c>
      <c r="M21" s="13">
        <v>45224</v>
      </c>
      <c r="N21" s="14">
        <v>749.97</v>
      </c>
    </row>
    <row r="22" spans="1:14" ht="15" thickBot="1" x14ac:dyDescent="0.4">
      <c r="A22" s="12" t="s">
        <v>122</v>
      </c>
      <c r="B22" s="13">
        <v>45412</v>
      </c>
      <c r="C22" s="12" t="s">
        <v>123</v>
      </c>
      <c r="D22" s="12" t="s">
        <v>124</v>
      </c>
      <c r="E22" s="12" t="s">
        <v>107</v>
      </c>
      <c r="F22" s="12" t="s">
        <v>108</v>
      </c>
      <c r="G22" s="12" t="s">
        <v>46</v>
      </c>
      <c r="H22" s="14">
        <v>5</v>
      </c>
      <c r="I22" s="14">
        <v>699.99</v>
      </c>
      <c r="J22" s="12" t="s">
        <v>47</v>
      </c>
      <c r="K22" s="12" t="s">
        <v>77</v>
      </c>
      <c r="L22" s="12" t="s">
        <v>49</v>
      </c>
      <c r="M22" s="13">
        <v>45167</v>
      </c>
      <c r="N22" s="14">
        <v>3499.95</v>
      </c>
    </row>
    <row r="23" spans="1:14" ht="15" thickBot="1" x14ac:dyDescent="0.4">
      <c r="A23" s="12" t="s">
        <v>125</v>
      </c>
      <c r="B23" s="13">
        <v>45413</v>
      </c>
      <c r="C23" s="12" t="s">
        <v>126</v>
      </c>
      <c r="D23" s="12" t="s">
        <v>127</v>
      </c>
      <c r="E23" s="12" t="s">
        <v>107</v>
      </c>
      <c r="F23" s="12" t="s">
        <v>108</v>
      </c>
      <c r="G23" s="12" t="s">
        <v>46</v>
      </c>
      <c r="H23" s="14">
        <v>4</v>
      </c>
      <c r="I23" s="14">
        <v>699.99</v>
      </c>
      <c r="J23" s="12" t="s">
        <v>47</v>
      </c>
      <c r="K23" s="12" t="s">
        <v>90</v>
      </c>
      <c r="L23" s="12" t="s">
        <v>63</v>
      </c>
      <c r="M23" s="13">
        <v>44409</v>
      </c>
      <c r="N23" s="14">
        <v>2799.96</v>
      </c>
    </row>
    <row r="24" spans="1:14" ht="15" thickBot="1" x14ac:dyDescent="0.4">
      <c r="A24" s="12" t="s">
        <v>128</v>
      </c>
      <c r="B24" s="13">
        <v>45415</v>
      </c>
      <c r="C24" s="12" t="s">
        <v>129</v>
      </c>
      <c r="D24" s="12" t="s">
        <v>130</v>
      </c>
      <c r="E24" s="12" t="s">
        <v>44</v>
      </c>
      <c r="F24" s="12" t="s">
        <v>45</v>
      </c>
      <c r="G24" s="12" t="s">
        <v>46</v>
      </c>
      <c r="H24" s="14">
        <v>4</v>
      </c>
      <c r="I24" s="14">
        <v>249.99</v>
      </c>
      <c r="J24" s="12" t="s">
        <v>61</v>
      </c>
      <c r="K24" s="12" t="s">
        <v>67</v>
      </c>
      <c r="L24" s="12" t="s">
        <v>63</v>
      </c>
      <c r="M24" s="13">
        <v>44468</v>
      </c>
      <c r="N24" s="14">
        <v>999.96</v>
      </c>
    </row>
    <row r="25" spans="1:14" ht="15" thickBot="1" x14ac:dyDescent="0.4">
      <c r="A25" s="12" t="s">
        <v>131</v>
      </c>
      <c r="B25" s="13">
        <v>45416</v>
      </c>
      <c r="C25" s="12" t="s">
        <v>113</v>
      </c>
      <c r="D25" s="12" t="s">
        <v>114</v>
      </c>
      <c r="E25" s="12" t="s">
        <v>132</v>
      </c>
      <c r="F25" s="12" t="s">
        <v>133</v>
      </c>
      <c r="G25" s="12" t="s">
        <v>73</v>
      </c>
      <c r="H25" s="14">
        <v>4</v>
      </c>
      <c r="I25" s="14">
        <v>299.99</v>
      </c>
      <c r="J25" s="12" t="s">
        <v>47</v>
      </c>
      <c r="K25" s="12" t="s">
        <v>77</v>
      </c>
      <c r="L25" s="12" t="s">
        <v>54</v>
      </c>
      <c r="M25" s="13">
        <v>44716</v>
      </c>
      <c r="N25" s="14">
        <v>1199.96</v>
      </c>
    </row>
    <row r="26" spans="1:14" ht="15" thickBot="1" x14ac:dyDescent="0.4">
      <c r="A26" s="12" t="s">
        <v>134</v>
      </c>
      <c r="B26" s="13">
        <v>45422</v>
      </c>
      <c r="C26" s="12" t="s">
        <v>135</v>
      </c>
      <c r="D26" s="12" t="s">
        <v>136</v>
      </c>
      <c r="E26" s="12" t="s">
        <v>44</v>
      </c>
      <c r="F26" s="12" t="s">
        <v>45</v>
      </c>
      <c r="G26" s="12" t="s">
        <v>46</v>
      </c>
      <c r="H26" s="14">
        <v>5</v>
      </c>
      <c r="I26" s="14">
        <v>249.99</v>
      </c>
      <c r="J26" s="12" t="s">
        <v>53</v>
      </c>
      <c r="K26" s="12" t="s">
        <v>77</v>
      </c>
      <c r="L26" s="12" t="s">
        <v>63</v>
      </c>
      <c r="M26" s="13">
        <v>44525</v>
      </c>
      <c r="N26" s="14">
        <v>1249.95</v>
      </c>
    </row>
    <row r="27" spans="1:14" ht="15" thickBot="1" x14ac:dyDescent="0.4">
      <c r="A27" s="12" t="s">
        <v>137</v>
      </c>
      <c r="B27" s="13">
        <v>45424</v>
      </c>
      <c r="C27" s="12" t="s">
        <v>95</v>
      </c>
      <c r="D27" s="12" t="s">
        <v>96</v>
      </c>
      <c r="E27" s="12" t="s">
        <v>132</v>
      </c>
      <c r="F27" s="12" t="s">
        <v>133</v>
      </c>
      <c r="G27" s="12" t="s">
        <v>73</v>
      </c>
      <c r="H27" s="14">
        <v>5</v>
      </c>
      <c r="I27" s="14">
        <v>299.99</v>
      </c>
      <c r="J27" s="12" t="s">
        <v>61</v>
      </c>
      <c r="K27" s="12" t="s">
        <v>90</v>
      </c>
      <c r="L27" s="12" t="s">
        <v>49</v>
      </c>
      <c r="M27" s="13">
        <v>45168</v>
      </c>
      <c r="N27" s="14">
        <v>1499.95</v>
      </c>
    </row>
    <row r="28" spans="1:14" ht="15" thickBot="1" x14ac:dyDescent="0.4">
      <c r="A28" s="12" t="s">
        <v>138</v>
      </c>
      <c r="B28" s="13">
        <v>45424</v>
      </c>
      <c r="C28" s="12" t="s">
        <v>139</v>
      </c>
      <c r="D28" s="12" t="s">
        <v>140</v>
      </c>
      <c r="E28" s="12" t="s">
        <v>141</v>
      </c>
      <c r="F28" s="12" t="s">
        <v>142</v>
      </c>
      <c r="G28" s="12" t="s">
        <v>60</v>
      </c>
      <c r="H28" s="14">
        <v>3</v>
      </c>
      <c r="I28" s="14">
        <v>79.989999999999995</v>
      </c>
      <c r="J28" s="12" t="s">
        <v>61</v>
      </c>
      <c r="K28" s="12" t="s">
        <v>90</v>
      </c>
      <c r="L28" s="12" t="s">
        <v>54</v>
      </c>
      <c r="M28" s="13">
        <v>45012</v>
      </c>
      <c r="N28" s="14">
        <v>239.97</v>
      </c>
    </row>
    <row r="29" spans="1:14" ht="15" thickBot="1" x14ac:dyDescent="0.4">
      <c r="A29" s="12" t="s">
        <v>143</v>
      </c>
      <c r="B29" s="13">
        <v>45424</v>
      </c>
      <c r="C29" s="12" t="s">
        <v>126</v>
      </c>
      <c r="D29" s="12" t="s">
        <v>127</v>
      </c>
      <c r="E29" s="12" t="s">
        <v>144</v>
      </c>
      <c r="F29" s="12" t="s">
        <v>145</v>
      </c>
      <c r="G29" s="12" t="s">
        <v>46</v>
      </c>
      <c r="H29" s="14">
        <v>5</v>
      </c>
      <c r="I29" s="14">
        <v>89.99</v>
      </c>
      <c r="J29" s="12" t="s">
        <v>47</v>
      </c>
      <c r="K29" s="12" t="s">
        <v>67</v>
      </c>
      <c r="L29" s="12" t="s">
        <v>54</v>
      </c>
      <c r="M29" s="13">
        <v>44919</v>
      </c>
      <c r="N29" s="14">
        <v>449.95</v>
      </c>
    </row>
    <row r="30" spans="1:14" ht="15" thickBot="1" x14ac:dyDescent="0.4">
      <c r="A30" s="12" t="s">
        <v>146</v>
      </c>
      <c r="B30" s="13">
        <v>45425</v>
      </c>
      <c r="C30" s="12" t="s">
        <v>147</v>
      </c>
      <c r="D30" s="12" t="s">
        <v>148</v>
      </c>
      <c r="E30" s="12" t="s">
        <v>58</v>
      </c>
      <c r="F30" s="12" t="s">
        <v>59</v>
      </c>
      <c r="G30" s="12" t="s">
        <v>60</v>
      </c>
      <c r="H30" s="14">
        <v>2</v>
      </c>
      <c r="I30" s="14">
        <v>59.99</v>
      </c>
      <c r="J30" s="12" t="s">
        <v>84</v>
      </c>
      <c r="K30" s="12" t="s">
        <v>48</v>
      </c>
      <c r="L30" s="12" t="s">
        <v>63</v>
      </c>
      <c r="M30" s="13">
        <v>45214</v>
      </c>
      <c r="N30" s="14">
        <v>119.98</v>
      </c>
    </row>
    <row r="31" spans="1:14" ht="15" thickBot="1" x14ac:dyDescent="0.4">
      <c r="A31" s="12" t="s">
        <v>149</v>
      </c>
      <c r="B31" s="13">
        <v>45427</v>
      </c>
      <c r="C31" s="12" t="s">
        <v>150</v>
      </c>
      <c r="D31" s="12" t="s">
        <v>151</v>
      </c>
      <c r="E31" s="12" t="s">
        <v>58</v>
      </c>
      <c r="F31" s="12" t="s">
        <v>59</v>
      </c>
      <c r="G31" s="12" t="s">
        <v>60</v>
      </c>
      <c r="H31" s="14">
        <v>4</v>
      </c>
      <c r="I31" s="14">
        <v>59.99</v>
      </c>
      <c r="J31" s="12" t="s">
        <v>84</v>
      </c>
      <c r="K31" s="12" t="s">
        <v>90</v>
      </c>
      <c r="L31" s="12" t="s">
        <v>63</v>
      </c>
      <c r="M31" s="13">
        <v>44867</v>
      </c>
      <c r="N31" s="14">
        <v>239.96</v>
      </c>
    </row>
    <row r="32" spans="1:14" ht="15" thickBot="1" x14ac:dyDescent="0.4">
      <c r="A32" s="12" t="s">
        <v>152</v>
      </c>
      <c r="B32" s="13">
        <v>45427</v>
      </c>
      <c r="C32" s="12" t="s">
        <v>82</v>
      </c>
      <c r="D32" s="12" t="s">
        <v>83</v>
      </c>
      <c r="E32" s="12" t="s">
        <v>153</v>
      </c>
      <c r="F32" s="12" t="s">
        <v>154</v>
      </c>
      <c r="G32" s="12" t="s">
        <v>73</v>
      </c>
      <c r="H32" s="14">
        <v>5</v>
      </c>
      <c r="I32" s="14">
        <v>199.99</v>
      </c>
      <c r="J32" s="12" t="s">
        <v>47</v>
      </c>
      <c r="K32" s="12" t="s">
        <v>62</v>
      </c>
      <c r="L32" s="12" t="s">
        <v>63</v>
      </c>
      <c r="M32" s="13">
        <v>44412</v>
      </c>
      <c r="N32" s="14">
        <v>999.95</v>
      </c>
    </row>
    <row r="33" spans="1:14" ht="15" thickBot="1" x14ac:dyDescent="0.4">
      <c r="A33" s="12" t="s">
        <v>155</v>
      </c>
      <c r="B33" s="13">
        <v>45428</v>
      </c>
      <c r="C33" s="12" t="s">
        <v>156</v>
      </c>
      <c r="D33" s="12" t="s">
        <v>157</v>
      </c>
      <c r="E33" s="12" t="s">
        <v>71</v>
      </c>
      <c r="F33" s="12" t="s">
        <v>72</v>
      </c>
      <c r="G33" s="12" t="s">
        <v>73</v>
      </c>
      <c r="H33" s="14">
        <v>2</v>
      </c>
      <c r="I33" s="14">
        <v>149.99</v>
      </c>
      <c r="J33" s="12" t="s">
        <v>53</v>
      </c>
      <c r="K33" s="12" t="s">
        <v>77</v>
      </c>
      <c r="L33" s="12" t="s">
        <v>49</v>
      </c>
      <c r="M33" s="13">
        <v>44823</v>
      </c>
      <c r="N33" s="14">
        <v>299.98</v>
      </c>
    </row>
    <row r="34" spans="1:14" ht="15" thickBot="1" x14ac:dyDescent="0.4">
      <c r="A34" s="12" t="s">
        <v>158</v>
      </c>
      <c r="B34" s="13">
        <v>45430</v>
      </c>
      <c r="C34" s="12" t="s">
        <v>159</v>
      </c>
      <c r="D34" s="12" t="s">
        <v>160</v>
      </c>
      <c r="E34" s="12" t="s">
        <v>71</v>
      </c>
      <c r="F34" s="12" t="s">
        <v>72</v>
      </c>
      <c r="G34" s="12" t="s">
        <v>73</v>
      </c>
      <c r="H34" s="14">
        <v>3</v>
      </c>
      <c r="I34" s="14">
        <v>149.99</v>
      </c>
      <c r="J34" s="12" t="s">
        <v>53</v>
      </c>
      <c r="K34" s="12" t="s">
        <v>77</v>
      </c>
      <c r="L34" s="12" t="s">
        <v>54</v>
      </c>
      <c r="M34" s="13">
        <v>45068</v>
      </c>
      <c r="N34" s="14">
        <v>449.97</v>
      </c>
    </row>
    <row r="35" spans="1:14" ht="15" thickBot="1" x14ac:dyDescent="0.4">
      <c r="A35" s="12" t="s">
        <v>161</v>
      </c>
      <c r="B35" s="13">
        <v>45432</v>
      </c>
      <c r="C35" s="12" t="s">
        <v>56</v>
      </c>
      <c r="D35" s="12" t="s">
        <v>57</v>
      </c>
      <c r="E35" s="12" t="s">
        <v>88</v>
      </c>
      <c r="F35" s="12" t="s">
        <v>89</v>
      </c>
      <c r="G35" s="12" t="s">
        <v>46</v>
      </c>
      <c r="H35" s="14">
        <v>1</v>
      </c>
      <c r="I35" s="14">
        <v>899.99</v>
      </c>
      <c r="J35" s="12" t="s">
        <v>53</v>
      </c>
      <c r="K35" s="12" t="s">
        <v>77</v>
      </c>
      <c r="L35" s="12" t="s">
        <v>54</v>
      </c>
      <c r="M35" s="13">
        <v>44578</v>
      </c>
      <c r="N35" s="14">
        <v>899.99</v>
      </c>
    </row>
    <row r="36" spans="1:14" ht="15" thickBot="1" x14ac:dyDescent="0.4">
      <c r="A36" s="12" t="s">
        <v>162</v>
      </c>
      <c r="B36" s="13">
        <v>45434</v>
      </c>
      <c r="C36" s="12" t="s">
        <v>126</v>
      </c>
      <c r="D36" s="12" t="s">
        <v>127</v>
      </c>
      <c r="E36" s="12" t="s">
        <v>132</v>
      </c>
      <c r="F36" s="12" t="s">
        <v>133</v>
      </c>
      <c r="G36" s="12" t="s">
        <v>73</v>
      </c>
      <c r="H36" s="14">
        <v>3</v>
      </c>
      <c r="I36" s="14">
        <v>299.99</v>
      </c>
      <c r="J36" s="12" t="s">
        <v>53</v>
      </c>
      <c r="K36" s="12" t="s">
        <v>90</v>
      </c>
      <c r="L36" s="12" t="s">
        <v>49</v>
      </c>
      <c r="M36" s="13">
        <v>44824</v>
      </c>
      <c r="N36" s="14">
        <v>899.97</v>
      </c>
    </row>
    <row r="37" spans="1:14" ht="15" thickBot="1" x14ac:dyDescent="0.4">
      <c r="A37" s="12" t="s">
        <v>163</v>
      </c>
      <c r="B37" s="13">
        <v>45435</v>
      </c>
      <c r="C37" s="12" t="s">
        <v>156</v>
      </c>
      <c r="D37" s="12" t="s">
        <v>157</v>
      </c>
      <c r="E37" s="12" t="s">
        <v>141</v>
      </c>
      <c r="F37" s="12" t="s">
        <v>142</v>
      </c>
      <c r="G37" s="12" t="s">
        <v>60</v>
      </c>
      <c r="H37" s="14">
        <v>3</v>
      </c>
      <c r="I37" s="14">
        <v>79.989999999999995</v>
      </c>
      <c r="J37" s="12" t="s">
        <v>47</v>
      </c>
      <c r="K37" s="12" t="s">
        <v>62</v>
      </c>
      <c r="L37" s="12" t="s">
        <v>49</v>
      </c>
      <c r="M37" s="13">
        <v>45046</v>
      </c>
      <c r="N37" s="14">
        <v>239.97</v>
      </c>
    </row>
    <row r="38" spans="1:14" ht="15" thickBot="1" x14ac:dyDescent="0.4">
      <c r="A38" s="12" t="s">
        <v>164</v>
      </c>
      <c r="B38" s="13">
        <v>45438</v>
      </c>
      <c r="C38" s="12" t="s">
        <v>165</v>
      </c>
      <c r="D38" s="12" t="s">
        <v>166</v>
      </c>
      <c r="E38" s="12" t="s">
        <v>153</v>
      </c>
      <c r="F38" s="12" t="s">
        <v>154</v>
      </c>
      <c r="G38" s="12" t="s">
        <v>73</v>
      </c>
      <c r="H38" s="14">
        <v>3</v>
      </c>
      <c r="I38" s="14">
        <v>199.99</v>
      </c>
      <c r="J38" s="12" t="s">
        <v>53</v>
      </c>
      <c r="K38" s="12" t="s">
        <v>67</v>
      </c>
      <c r="L38" s="12" t="s">
        <v>54</v>
      </c>
      <c r="M38" s="13">
        <v>45292</v>
      </c>
      <c r="N38" s="14">
        <v>599.97</v>
      </c>
    </row>
    <row r="39" spans="1:14" ht="15" thickBot="1" x14ac:dyDescent="0.4">
      <c r="A39" s="12" t="s">
        <v>167</v>
      </c>
      <c r="B39" s="13">
        <v>45440</v>
      </c>
      <c r="C39" s="12" t="s">
        <v>168</v>
      </c>
      <c r="D39" s="12" t="s">
        <v>169</v>
      </c>
      <c r="E39" s="12" t="s">
        <v>107</v>
      </c>
      <c r="F39" s="12" t="s">
        <v>108</v>
      </c>
      <c r="G39" s="12" t="s">
        <v>46</v>
      </c>
      <c r="H39" s="14">
        <v>5</v>
      </c>
      <c r="I39" s="14">
        <v>699.99</v>
      </c>
      <c r="J39" s="12" t="s">
        <v>61</v>
      </c>
      <c r="K39" s="12" t="s">
        <v>77</v>
      </c>
      <c r="L39" s="12" t="s">
        <v>63</v>
      </c>
      <c r="M39" s="13">
        <v>44407</v>
      </c>
      <c r="N39" s="14">
        <v>3499.95</v>
      </c>
    </row>
    <row r="40" spans="1:14" ht="15" thickBot="1" x14ac:dyDescent="0.4">
      <c r="A40" s="12" t="s">
        <v>170</v>
      </c>
      <c r="B40" s="13">
        <v>45441</v>
      </c>
      <c r="C40" s="12" t="s">
        <v>171</v>
      </c>
      <c r="D40" s="12" t="s">
        <v>172</v>
      </c>
      <c r="E40" s="12" t="s">
        <v>144</v>
      </c>
      <c r="F40" s="12" t="s">
        <v>145</v>
      </c>
      <c r="G40" s="12" t="s">
        <v>46</v>
      </c>
      <c r="H40" s="14">
        <v>3</v>
      </c>
      <c r="I40" s="14">
        <v>89.99</v>
      </c>
      <c r="J40" s="12" t="s">
        <v>61</v>
      </c>
      <c r="K40" s="12" t="s">
        <v>48</v>
      </c>
      <c r="L40" s="12" t="s">
        <v>54</v>
      </c>
      <c r="M40" s="13">
        <v>45120</v>
      </c>
      <c r="N40" s="14">
        <v>269.97000000000003</v>
      </c>
    </row>
    <row r="41" spans="1:14" ht="15" thickBot="1" x14ac:dyDescent="0.4">
      <c r="A41" s="12" t="s">
        <v>173</v>
      </c>
      <c r="B41" s="13">
        <v>45443</v>
      </c>
      <c r="C41" s="12" t="s">
        <v>174</v>
      </c>
      <c r="D41" s="12" t="s">
        <v>175</v>
      </c>
      <c r="E41" s="12" t="s">
        <v>141</v>
      </c>
      <c r="F41" s="12" t="s">
        <v>142</v>
      </c>
      <c r="G41" s="12" t="s">
        <v>60</v>
      </c>
      <c r="H41" s="14">
        <v>1</v>
      </c>
      <c r="I41" s="14">
        <v>79.989999999999995</v>
      </c>
      <c r="J41" s="12" t="s">
        <v>47</v>
      </c>
      <c r="K41" s="12" t="s">
        <v>67</v>
      </c>
      <c r="L41" s="12" t="s">
        <v>63</v>
      </c>
      <c r="M41" s="13">
        <v>44917</v>
      </c>
      <c r="N41" s="14">
        <v>79.989999999999995</v>
      </c>
    </row>
    <row r="42" spans="1:14" ht="15" thickBot="1" x14ac:dyDescent="0.4">
      <c r="A42" s="12" t="s">
        <v>176</v>
      </c>
      <c r="B42" s="13">
        <v>45444</v>
      </c>
      <c r="C42" s="12" t="s">
        <v>177</v>
      </c>
      <c r="D42" s="12" t="s">
        <v>178</v>
      </c>
      <c r="E42" s="12" t="s">
        <v>58</v>
      </c>
      <c r="F42" s="12" t="s">
        <v>59</v>
      </c>
      <c r="G42" s="12" t="s">
        <v>60</v>
      </c>
      <c r="H42" s="14">
        <v>2</v>
      </c>
      <c r="I42" s="14">
        <v>59.99</v>
      </c>
      <c r="J42" s="12" t="s">
        <v>47</v>
      </c>
      <c r="K42" s="12" t="s">
        <v>77</v>
      </c>
      <c r="L42" s="12" t="s">
        <v>49</v>
      </c>
      <c r="M42" s="13">
        <v>45390</v>
      </c>
      <c r="N42" s="14">
        <v>119.98</v>
      </c>
    </row>
    <row r="43" spans="1:14" ht="15" thickBot="1" x14ac:dyDescent="0.4">
      <c r="A43" s="12" t="s">
        <v>179</v>
      </c>
      <c r="B43" s="13">
        <v>45444</v>
      </c>
      <c r="C43" s="12" t="s">
        <v>82</v>
      </c>
      <c r="D43" s="12" t="s">
        <v>83</v>
      </c>
      <c r="E43" s="12" t="s">
        <v>144</v>
      </c>
      <c r="F43" s="12" t="s">
        <v>145</v>
      </c>
      <c r="G43" s="12" t="s">
        <v>46</v>
      </c>
      <c r="H43" s="14">
        <v>1</v>
      </c>
      <c r="I43" s="14">
        <v>89.99</v>
      </c>
      <c r="J43" s="12" t="s">
        <v>47</v>
      </c>
      <c r="K43" s="12" t="s">
        <v>67</v>
      </c>
      <c r="L43" s="12" t="s">
        <v>49</v>
      </c>
      <c r="M43" s="13">
        <v>45141</v>
      </c>
      <c r="N43" s="14">
        <v>89.99</v>
      </c>
    </row>
    <row r="44" spans="1:14" ht="15" thickBot="1" x14ac:dyDescent="0.4">
      <c r="A44" s="12" t="s">
        <v>180</v>
      </c>
      <c r="B44" s="13">
        <v>45446</v>
      </c>
      <c r="C44" s="12" t="s">
        <v>181</v>
      </c>
      <c r="D44" s="12" t="s">
        <v>182</v>
      </c>
      <c r="E44" s="12" t="s">
        <v>144</v>
      </c>
      <c r="F44" s="12" t="s">
        <v>145</v>
      </c>
      <c r="G44" s="12" t="s">
        <v>46</v>
      </c>
      <c r="H44" s="14">
        <v>5</v>
      </c>
      <c r="I44" s="14">
        <v>89.99</v>
      </c>
      <c r="J44" s="12" t="s">
        <v>53</v>
      </c>
      <c r="K44" s="12" t="s">
        <v>90</v>
      </c>
      <c r="L44" s="12" t="s">
        <v>63</v>
      </c>
      <c r="M44" s="13">
        <v>44587</v>
      </c>
      <c r="N44" s="14">
        <v>449.95</v>
      </c>
    </row>
    <row r="45" spans="1:14" ht="15" thickBot="1" x14ac:dyDescent="0.4">
      <c r="A45" s="12" t="s">
        <v>183</v>
      </c>
      <c r="B45" s="13">
        <v>45449</v>
      </c>
      <c r="C45" s="12" t="s">
        <v>51</v>
      </c>
      <c r="D45" s="12" t="s">
        <v>52</v>
      </c>
      <c r="E45" s="12" t="s">
        <v>44</v>
      </c>
      <c r="F45" s="12" t="s">
        <v>45</v>
      </c>
      <c r="G45" s="12" t="s">
        <v>46</v>
      </c>
      <c r="H45" s="14">
        <v>5</v>
      </c>
      <c r="I45" s="14">
        <v>249.99</v>
      </c>
      <c r="J45" s="12" t="s">
        <v>53</v>
      </c>
      <c r="K45" s="12" t="s">
        <v>90</v>
      </c>
      <c r="L45" s="12" t="s">
        <v>63</v>
      </c>
      <c r="M45" s="13">
        <v>44707</v>
      </c>
      <c r="N45" s="14">
        <v>1249.95</v>
      </c>
    </row>
    <row r="46" spans="1:14" ht="15" thickBot="1" x14ac:dyDescent="0.4">
      <c r="A46" s="12" t="s">
        <v>184</v>
      </c>
      <c r="B46" s="13">
        <v>45449</v>
      </c>
      <c r="C46" s="12" t="s">
        <v>185</v>
      </c>
      <c r="D46" s="12" t="s">
        <v>186</v>
      </c>
      <c r="E46" s="12" t="s">
        <v>144</v>
      </c>
      <c r="F46" s="12" t="s">
        <v>145</v>
      </c>
      <c r="G46" s="12" t="s">
        <v>46</v>
      </c>
      <c r="H46" s="14">
        <v>1</v>
      </c>
      <c r="I46" s="14">
        <v>89.99</v>
      </c>
      <c r="J46" s="12" t="s">
        <v>53</v>
      </c>
      <c r="K46" s="12" t="s">
        <v>62</v>
      </c>
      <c r="L46" s="12" t="s">
        <v>63</v>
      </c>
      <c r="M46" s="13">
        <v>44582</v>
      </c>
      <c r="N46" s="14">
        <v>89.99</v>
      </c>
    </row>
    <row r="47" spans="1:14" ht="15" thickBot="1" x14ac:dyDescent="0.4">
      <c r="A47" s="12" t="s">
        <v>187</v>
      </c>
      <c r="B47" s="13">
        <v>45450</v>
      </c>
      <c r="C47" s="12" t="s">
        <v>69</v>
      </c>
      <c r="D47" s="12" t="s">
        <v>70</v>
      </c>
      <c r="E47" s="12" t="s">
        <v>71</v>
      </c>
      <c r="F47" s="12" t="s">
        <v>72</v>
      </c>
      <c r="G47" s="12" t="s">
        <v>73</v>
      </c>
      <c r="H47" s="14">
        <v>2</v>
      </c>
      <c r="I47" s="14">
        <v>149.99</v>
      </c>
      <c r="J47" s="12" t="s">
        <v>47</v>
      </c>
      <c r="K47" s="12" t="s">
        <v>90</v>
      </c>
      <c r="L47" s="12" t="s">
        <v>54</v>
      </c>
      <c r="M47" s="13">
        <v>44645</v>
      </c>
      <c r="N47" s="14">
        <v>299.98</v>
      </c>
    </row>
    <row r="48" spans="1:14" ht="15" thickBot="1" x14ac:dyDescent="0.4">
      <c r="A48" s="12" t="s">
        <v>188</v>
      </c>
      <c r="B48" s="13">
        <v>45452</v>
      </c>
      <c r="C48" s="12" t="s">
        <v>189</v>
      </c>
      <c r="D48" s="12" t="s">
        <v>190</v>
      </c>
      <c r="E48" s="12" t="s">
        <v>58</v>
      </c>
      <c r="F48" s="12" t="s">
        <v>59</v>
      </c>
      <c r="G48" s="12" t="s">
        <v>60</v>
      </c>
      <c r="H48" s="14">
        <v>4</v>
      </c>
      <c r="I48" s="14">
        <v>59.99</v>
      </c>
      <c r="J48" s="12" t="s">
        <v>47</v>
      </c>
      <c r="K48" s="12" t="s">
        <v>90</v>
      </c>
      <c r="L48" s="12" t="s">
        <v>63</v>
      </c>
      <c r="M48" s="13">
        <v>44435</v>
      </c>
      <c r="N48" s="14">
        <v>239.96</v>
      </c>
    </row>
    <row r="49" spans="1:14" ht="15" thickBot="1" x14ac:dyDescent="0.4">
      <c r="A49" s="12" t="s">
        <v>191</v>
      </c>
      <c r="B49" s="13">
        <v>45456</v>
      </c>
      <c r="C49" s="12" t="s">
        <v>156</v>
      </c>
      <c r="D49" s="12" t="s">
        <v>157</v>
      </c>
      <c r="E49" s="12" t="s">
        <v>144</v>
      </c>
      <c r="F49" s="12" t="s">
        <v>145</v>
      </c>
      <c r="G49" s="12" t="s">
        <v>46</v>
      </c>
      <c r="H49" s="14">
        <v>5</v>
      </c>
      <c r="I49" s="14">
        <v>89.99</v>
      </c>
      <c r="J49" s="12" t="s">
        <v>47</v>
      </c>
      <c r="K49" s="12" t="s">
        <v>48</v>
      </c>
      <c r="L49" s="12" t="s">
        <v>54</v>
      </c>
      <c r="M49" s="13">
        <v>44579</v>
      </c>
      <c r="N49" s="14">
        <v>449.95</v>
      </c>
    </row>
    <row r="50" spans="1:14" ht="15" thickBot="1" x14ac:dyDescent="0.4">
      <c r="A50" s="12" t="s">
        <v>192</v>
      </c>
      <c r="B50" s="13">
        <v>45459</v>
      </c>
      <c r="C50" s="12" t="s">
        <v>126</v>
      </c>
      <c r="D50" s="12" t="s">
        <v>127</v>
      </c>
      <c r="E50" s="12" t="s">
        <v>144</v>
      </c>
      <c r="F50" s="12" t="s">
        <v>145</v>
      </c>
      <c r="G50" s="12" t="s">
        <v>46</v>
      </c>
      <c r="H50" s="14">
        <v>2</v>
      </c>
      <c r="I50" s="14">
        <v>89.99</v>
      </c>
      <c r="J50" s="12" t="s">
        <v>53</v>
      </c>
      <c r="K50" s="12" t="s">
        <v>62</v>
      </c>
      <c r="L50" s="12" t="s">
        <v>54</v>
      </c>
      <c r="M50" s="13">
        <v>44471</v>
      </c>
      <c r="N50" s="14">
        <v>179.98</v>
      </c>
    </row>
    <row r="51" spans="1:14" ht="15" thickBot="1" x14ac:dyDescent="0.4">
      <c r="A51" s="12" t="s">
        <v>193</v>
      </c>
      <c r="B51" s="13">
        <v>45459</v>
      </c>
      <c r="C51" s="12" t="s">
        <v>42</v>
      </c>
      <c r="D51" s="12" t="s">
        <v>43</v>
      </c>
      <c r="E51" s="12" t="s">
        <v>88</v>
      </c>
      <c r="F51" s="12" t="s">
        <v>89</v>
      </c>
      <c r="G51" s="12" t="s">
        <v>46</v>
      </c>
      <c r="H51" s="14">
        <v>5</v>
      </c>
      <c r="I51" s="14">
        <v>899.99</v>
      </c>
      <c r="J51" s="12" t="s">
        <v>53</v>
      </c>
      <c r="K51" s="12" t="s">
        <v>62</v>
      </c>
      <c r="L51" s="12" t="s">
        <v>63</v>
      </c>
      <c r="M51" s="13">
        <v>44974</v>
      </c>
      <c r="N51" s="14">
        <v>4499.95</v>
      </c>
    </row>
    <row r="52" spans="1:14" ht="15" thickBot="1" x14ac:dyDescent="0.4">
      <c r="A52" s="12" t="s">
        <v>194</v>
      </c>
      <c r="B52" s="13">
        <v>45459</v>
      </c>
      <c r="C52" s="12" t="s">
        <v>150</v>
      </c>
      <c r="D52" s="12" t="s">
        <v>151</v>
      </c>
      <c r="E52" s="12" t="s">
        <v>88</v>
      </c>
      <c r="F52" s="12" t="s">
        <v>89</v>
      </c>
      <c r="G52" s="12" t="s">
        <v>46</v>
      </c>
      <c r="H52" s="14">
        <v>5</v>
      </c>
      <c r="I52" s="14">
        <v>899.99</v>
      </c>
      <c r="J52" s="12" t="s">
        <v>61</v>
      </c>
      <c r="K52" s="12" t="s">
        <v>90</v>
      </c>
      <c r="L52" s="12" t="s">
        <v>54</v>
      </c>
      <c r="M52" s="13">
        <v>45278</v>
      </c>
      <c r="N52" s="14">
        <v>4499.95</v>
      </c>
    </row>
    <row r="53" spans="1:14" ht="15" thickBot="1" x14ac:dyDescent="0.4">
      <c r="A53" s="12" t="s">
        <v>195</v>
      </c>
      <c r="B53" s="13">
        <v>45460</v>
      </c>
      <c r="C53" s="12" t="s">
        <v>185</v>
      </c>
      <c r="D53" s="12" t="s">
        <v>186</v>
      </c>
      <c r="E53" s="12" t="s">
        <v>58</v>
      </c>
      <c r="F53" s="12" t="s">
        <v>59</v>
      </c>
      <c r="G53" s="12" t="s">
        <v>60</v>
      </c>
      <c r="H53" s="14">
        <v>1</v>
      </c>
      <c r="I53" s="14">
        <v>59.99</v>
      </c>
      <c r="J53" s="12" t="s">
        <v>84</v>
      </c>
      <c r="K53" s="12" t="s">
        <v>77</v>
      </c>
      <c r="L53" s="12" t="s">
        <v>54</v>
      </c>
      <c r="M53" s="13">
        <v>45190</v>
      </c>
      <c r="N53" s="14">
        <v>59.99</v>
      </c>
    </row>
    <row r="54" spans="1:14" ht="15" thickBot="1" x14ac:dyDescent="0.4">
      <c r="A54" s="12" t="s">
        <v>196</v>
      </c>
      <c r="B54" s="13">
        <v>45460</v>
      </c>
      <c r="C54" s="12" t="s">
        <v>168</v>
      </c>
      <c r="D54" s="12" t="s">
        <v>169</v>
      </c>
      <c r="E54" s="12" t="s">
        <v>132</v>
      </c>
      <c r="F54" s="12" t="s">
        <v>133</v>
      </c>
      <c r="G54" s="12" t="s">
        <v>73</v>
      </c>
      <c r="H54" s="14">
        <v>2</v>
      </c>
      <c r="I54" s="14">
        <v>299.99</v>
      </c>
      <c r="J54" s="12" t="s">
        <v>84</v>
      </c>
      <c r="K54" s="12" t="s">
        <v>90</v>
      </c>
      <c r="L54" s="12" t="s">
        <v>63</v>
      </c>
      <c r="M54" s="13">
        <v>45253</v>
      </c>
      <c r="N54" s="14">
        <v>599.98</v>
      </c>
    </row>
    <row r="55" spans="1:14" ht="15" thickBot="1" x14ac:dyDescent="0.4">
      <c r="A55" s="12" t="s">
        <v>197</v>
      </c>
      <c r="B55" s="13">
        <v>45468</v>
      </c>
      <c r="C55" s="12" t="s">
        <v>198</v>
      </c>
      <c r="D55" s="12" t="s">
        <v>199</v>
      </c>
      <c r="E55" s="12" t="s">
        <v>144</v>
      </c>
      <c r="F55" s="12" t="s">
        <v>145</v>
      </c>
      <c r="G55" s="12" t="s">
        <v>46</v>
      </c>
      <c r="H55" s="14">
        <v>4</v>
      </c>
      <c r="I55" s="14">
        <v>89.99</v>
      </c>
      <c r="J55" s="12" t="s">
        <v>84</v>
      </c>
      <c r="K55" s="12" t="s">
        <v>62</v>
      </c>
      <c r="L55" s="12" t="s">
        <v>49</v>
      </c>
      <c r="M55" s="13">
        <v>45281</v>
      </c>
      <c r="N55" s="14">
        <v>359.96</v>
      </c>
    </row>
    <row r="56" spans="1:14" ht="15" thickBot="1" x14ac:dyDescent="0.4">
      <c r="A56" s="12" t="s">
        <v>200</v>
      </c>
      <c r="B56" s="13">
        <v>45469</v>
      </c>
      <c r="C56" s="12" t="s">
        <v>56</v>
      </c>
      <c r="D56" s="12" t="s">
        <v>57</v>
      </c>
      <c r="E56" s="12" t="s">
        <v>141</v>
      </c>
      <c r="F56" s="12" t="s">
        <v>142</v>
      </c>
      <c r="G56" s="12" t="s">
        <v>60</v>
      </c>
      <c r="H56" s="14">
        <v>1</v>
      </c>
      <c r="I56" s="14">
        <v>79.989999999999995</v>
      </c>
      <c r="J56" s="12" t="s">
        <v>61</v>
      </c>
      <c r="K56" s="12" t="s">
        <v>48</v>
      </c>
      <c r="L56" s="12" t="s">
        <v>54</v>
      </c>
      <c r="M56" s="13">
        <v>45352</v>
      </c>
      <c r="N56" s="14">
        <v>79.989999999999995</v>
      </c>
    </row>
    <row r="57" spans="1:14" ht="15" thickBot="1" x14ac:dyDescent="0.4">
      <c r="A57" s="12" t="s">
        <v>201</v>
      </c>
      <c r="B57" s="13">
        <v>45469</v>
      </c>
      <c r="C57" s="12" t="s">
        <v>86</v>
      </c>
      <c r="D57" s="12" t="s">
        <v>87</v>
      </c>
      <c r="E57" s="12" t="s">
        <v>144</v>
      </c>
      <c r="F57" s="12" t="s">
        <v>145</v>
      </c>
      <c r="G57" s="12" t="s">
        <v>46</v>
      </c>
      <c r="H57" s="14">
        <v>2</v>
      </c>
      <c r="I57" s="14">
        <v>89.99</v>
      </c>
      <c r="J57" s="12" t="s">
        <v>47</v>
      </c>
      <c r="K57" s="12" t="s">
        <v>77</v>
      </c>
      <c r="L57" s="12" t="s">
        <v>49</v>
      </c>
      <c r="M57" s="13">
        <v>44438</v>
      </c>
      <c r="N57" s="14">
        <v>179.98</v>
      </c>
    </row>
    <row r="58" spans="1:14" ht="15" thickBot="1" x14ac:dyDescent="0.4">
      <c r="A58" s="12" t="s">
        <v>202</v>
      </c>
      <c r="B58" s="13">
        <v>45471</v>
      </c>
      <c r="C58" s="12" t="s">
        <v>65</v>
      </c>
      <c r="D58" s="12" t="s">
        <v>66</v>
      </c>
      <c r="E58" s="12" t="s">
        <v>107</v>
      </c>
      <c r="F58" s="12" t="s">
        <v>108</v>
      </c>
      <c r="G58" s="12" t="s">
        <v>46</v>
      </c>
      <c r="H58" s="14">
        <v>3</v>
      </c>
      <c r="I58" s="14">
        <v>699.99</v>
      </c>
      <c r="J58" s="12" t="s">
        <v>53</v>
      </c>
      <c r="K58" s="12" t="s">
        <v>90</v>
      </c>
      <c r="L58" s="12" t="s">
        <v>54</v>
      </c>
      <c r="M58" s="13">
        <v>45102</v>
      </c>
      <c r="N58" s="14">
        <v>2099.9699999999998</v>
      </c>
    </row>
    <row r="59" spans="1:14" ht="15" thickBot="1" x14ac:dyDescent="0.4">
      <c r="A59" s="12" t="s">
        <v>203</v>
      </c>
      <c r="B59" s="13">
        <v>45471</v>
      </c>
      <c r="C59" s="12" t="s">
        <v>126</v>
      </c>
      <c r="D59" s="12" t="s">
        <v>127</v>
      </c>
      <c r="E59" s="12" t="s">
        <v>88</v>
      </c>
      <c r="F59" s="12" t="s">
        <v>89</v>
      </c>
      <c r="G59" s="12" t="s">
        <v>46</v>
      </c>
      <c r="H59" s="14">
        <v>4</v>
      </c>
      <c r="I59" s="14">
        <v>899.99</v>
      </c>
      <c r="J59" s="12" t="s">
        <v>53</v>
      </c>
      <c r="K59" s="12" t="s">
        <v>90</v>
      </c>
      <c r="L59" s="12" t="s">
        <v>54</v>
      </c>
      <c r="M59" s="13">
        <v>44993</v>
      </c>
      <c r="N59" s="14">
        <v>3599.96</v>
      </c>
    </row>
    <row r="60" spans="1:14" ht="15" thickBot="1" x14ac:dyDescent="0.4">
      <c r="A60" s="12" t="s">
        <v>204</v>
      </c>
      <c r="B60" s="13">
        <v>45472</v>
      </c>
      <c r="C60" s="12" t="s">
        <v>147</v>
      </c>
      <c r="D60" s="12" t="s">
        <v>148</v>
      </c>
      <c r="E60" s="12" t="s">
        <v>71</v>
      </c>
      <c r="F60" s="12" t="s">
        <v>72</v>
      </c>
      <c r="G60" s="12" t="s">
        <v>73</v>
      </c>
      <c r="H60" s="14">
        <v>1</v>
      </c>
      <c r="I60" s="14">
        <v>149.99</v>
      </c>
      <c r="J60" s="12" t="s">
        <v>61</v>
      </c>
      <c r="K60" s="12" t="s">
        <v>90</v>
      </c>
      <c r="L60" s="12" t="s">
        <v>49</v>
      </c>
      <c r="M60" s="13">
        <v>44851</v>
      </c>
      <c r="N60" s="14">
        <v>149.99</v>
      </c>
    </row>
    <row r="61" spans="1:14" ht="15" thickBot="1" x14ac:dyDescent="0.4">
      <c r="A61" s="12" t="s">
        <v>205</v>
      </c>
      <c r="B61" s="13">
        <v>45474</v>
      </c>
      <c r="C61" s="12" t="s">
        <v>159</v>
      </c>
      <c r="D61" s="12" t="s">
        <v>160</v>
      </c>
      <c r="E61" s="12" t="s">
        <v>144</v>
      </c>
      <c r="F61" s="12" t="s">
        <v>145</v>
      </c>
      <c r="G61" s="12" t="s">
        <v>46</v>
      </c>
      <c r="H61" s="14">
        <v>2</v>
      </c>
      <c r="I61" s="14">
        <v>89.99</v>
      </c>
      <c r="J61" s="12" t="s">
        <v>61</v>
      </c>
      <c r="K61" s="12" t="s">
        <v>48</v>
      </c>
      <c r="L61" s="12" t="s">
        <v>54</v>
      </c>
      <c r="M61" s="13">
        <v>45275</v>
      </c>
      <c r="N61" s="14">
        <v>179.98</v>
      </c>
    </row>
    <row r="62" spans="1:14" ht="15" thickBot="1" x14ac:dyDescent="0.4">
      <c r="A62" s="12" t="s">
        <v>206</v>
      </c>
      <c r="B62" s="13">
        <v>45475</v>
      </c>
      <c r="C62" s="12" t="s">
        <v>82</v>
      </c>
      <c r="D62" s="12" t="s">
        <v>83</v>
      </c>
      <c r="E62" s="12" t="s">
        <v>144</v>
      </c>
      <c r="F62" s="12" t="s">
        <v>145</v>
      </c>
      <c r="G62" s="12" t="s">
        <v>46</v>
      </c>
      <c r="H62" s="14">
        <v>1</v>
      </c>
      <c r="I62" s="14">
        <v>89.99</v>
      </c>
      <c r="J62" s="12" t="s">
        <v>61</v>
      </c>
      <c r="K62" s="12" t="s">
        <v>77</v>
      </c>
      <c r="L62" s="12" t="s">
        <v>63</v>
      </c>
      <c r="M62" s="13">
        <v>44802</v>
      </c>
      <c r="N62" s="14">
        <v>89.99</v>
      </c>
    </row>
    <row r="63" spans="1:14" ht="15" thickBot="1" x14ac:dyDescent="0.4">
      <c r="A63" s="12" t="s">
        <v>207</v>
      </c>
      <c r="B63" s="13">
        <v>45476</v>
      </c>
      <c r="C63" s="12" t="s">
        <v>95</v>
      </c>
      <c r="D63" s="12" t="s">
        <v>96</v>
      </c>
      <c r="E63" s="12" t="s">
        <v>144</v>
      </c>
      <c r="F63" s="12" t="s">
        <v>145</v>
      </c>
      <c r="G63" s="12" t="s">
        <v>46</v>
      </c>
      <c r="H63" s="14">
        <v>1</v>
      </c>
      <c r="I63" s="14">
        <v>89.99</v>
      </c>
      <c r="J63" s="12" t="s">
        <v>47</v>
      </c>
      <c r="K63" s="12" t="s">
        <v>62</v>
      </c>
      <c r="L63" s="12" t="s">
        <v>63</v>
      </c>
      <c r="M63" s="13">
        <v>44611</v>
      </c>
      <c r="N63" s="14">
        <v>89.99</v>
      </c>
    </row>
    <row r="64" spans="1:14" ht="15" thickBot="1" x14ac:dyDescent="0.4">
      <c r="A64" s="12" t="s">
        <v>208</v>
      </c>
      <c r="B64" s="13">
        <v>45476</v>
      </c>
      <c r="C64" s="12" t="s">
        <v>209</v>
      </c>
      <c r="D64" s="12" t="s">
        <v>210</v>
      </c>
      <c r="E64" s="12" t="s">
        <v>141</v>
      </c>
      <c r="F64" s="12" t="s">
        <v>142</v>
      </c>
      <c r="G64" s="12" t="s">
        <v>60</v>
      </c>
      <c r="H64" s="14">
        <v>5</v>
      </c>
      <c r="I64" s="14">
        <v>79.989999999999995</v>
      </c>
      <c r="J64" s="12" t="s">
        <v>84</v>
      </c>
      <c r="K64" s="12" t="s">
        <v>48</v>
      </c>
      <c r="L64" s="12" t="s">
        <v>49</v>
      </c>
      <c r="M64" s="13">
        <v>44981</v>
      </c>
      <c r="N64" s="14">
        <v>399.95</v>
      </c>
    </row>
    <row r="65" spans="1:14" ht="15" thickBot="1" x14ac:dyDescent="0.4">
      <c r="A65" s="12" t="s">
        <v>211</v>
      </c>
      <c r="B65" s="13">
        <v>45481</v>
      </c>
      <c r="C65" s="12" t="s">
        <v>212</v>
      </c>
      <c r="D65" s="12" t="s">
        <v>213</v>
      </c>
      <c r="E65" s="12" t="s">
        <v>71</v>
      </c>
      <c r="F65" s="12" t="s">
        <v>72</v>
      </c>
      <c r="G65" s="12" t="s">
        <v>73</v>
      </c>
      <c r="H65" s="14">
        <v>1</v>
      </c>
      <c r="I65" s="14">
        <v>149.99</v>
      </c>
      <c r="J65" s="12" t="s">
        <v>61</v>
      </c>
      <c r="K65" s="12" t="s">
        <v>67</v>
      </c>
      <c r="L65" s="12" t="s">
        <v>49</v>
      </c>
      <c r="M65" s="13">
        <v>44421</v>
      </c>
      <c r="N65" s="14">
        <v>149.99</v>
      </c>
    </row>
    <row r="66" spans="1:14" ht="15" thickBot="1" x14ac:dyDescent="0.4">
      <c r="A66" s="12" t="s">
        <v>214</v>
      </c>
      <c r="B66" s="13">
        <v>45481</v>
      </c>
      <c r="C66" s="12" t="s">
        <v>69</v>
      </c>
      <c r="D66" s="12" t="s">
        <v>70</v>
      </c>
      <c r="E66" s="12" t="s">
        <v>107</v>
      </c>
      <c r="F66" s="12" t="s">
        <v>108</v>
      </c>
      <c r="G66" s="12" t="s">
        <v>46</v>
      </c>
      <c r="H66" s="14">
        <v>2</v>
      </c>
      <c r="I66" s="14">
        <v>699.99</v>
      </c>
      <c r="J66" s="12" t="s">
        <v>61</v>
      </c>
      <c r="K66" s="12" t="s">
        <v>90</v>
      </c>
      <c r="L66" s="12" t="s">
        <v>54</v>
      </c>
      <c r="M66" s="13">
        <v>45389</v>
      </c>
      <c r="N66" s="14">
        <v>1399.98</v>
      </c>
    </row>
    <row r="67" spans="1:14" ht="15" thickBot="1" x14ac:dyDescent="0.4">
      <c r="A67" s="12" t="s">
        <v>215</v>
      </c>
      <c r="B67" s="13">
        <v>45481</v>
      </c>
      <c r="C67" s="12" t="s">
        <v>123</v>
      </c>
      <c r="D67" s="12" t="s">
        <v>124</v>
      </c>
      <c r="E67" s="12" t="s">
        <v>144</v>
      </c>
      <c r="F67" s="12" t="s">
        <v>145</v>
      </c>
      <c r="G67" s="12" t="s">
        <v>46</v>
      </c>
      <c r="H67" s="14">
        <v>5</v>
      </c>
      <c r="I67" s="14">
        <v>89.99</v>
      </c>
      <c r="J67" s="12" t="s">
        <v>84</v>
      </c>
      <c r="K67" s="12" t="s">
        <v>67</v>
      </c>
      <c r="L67" s="12" t="s">
        <v>54</v>
      </c>
      <c r="M67" s="13">
        <v>45161</v>
      </c>
      <c r="N67" s="14">
        <v>449.95</v>
      </c>
    </row>
    <row r="68" spans="1:14" ht="15" thickBot="1" x14ac:dyDescent="0.4">
      <c r="A68" s="12" t="s">
        <v>216</v>
      </c>
      <c r="B68" s="13">
        <v>45482</v>
      </c>
      <c r="C68" s="12" t="s">
        <v>198</v>
      </c>
      <c r="D68" s="12" t="s">
        <v>199</v>
      </c>
      <c r="E68" s="12" t="s">
        <v>58</v>
      </c>
      <c r="F68" s="12" t="s">
        <v>59</v>
      </c>
      <c r="G68" s="12" t="s">
        <v>60</v>
      </c>
      <c r="H68" s="14">
        <v>4</v>
      </c>
      <c r="I68" s="14">
        <v>59.99</v>
      </c>
      <c r="J68" s="12" t="s">
        <v>47</v>
      </c>
      <c r="K68" s="12" t="s">
        <v>62</v>
      </c>
      <c r="L68" s="12" t="s">
        <v>63</v>
      </c>
      <c r="M68" s="13">
        <v>44509</v>
      </c>
      <c r="N68" s="14">
        <v>239.96</v>
      </c>
    </row>
    <row r="69" spans="1:14" ht="15" thickBot="1" x14ac:dyDescent="0.4">
      <c r="A69" s="12" t="s">
        <v>217</v>
      </c>
      <c r="B69" s="13">
        <v>45484</v>
      </c>
      <c r="C69" s="12" t="s">
        <v>51</v>
      </c>
      <c r="D69" s="12" t="s">
        <v>52</v>
      </c>
      <c r="E69" s="12" t="s">
        <v>79</v>
      </c>
      <c r="F69" s="12" t="s">
        <v>80</v>
      </c>
      <c r="G69" s="12" t="s">
        <v>46</v>
      </c>
      <c r="H69" s="14">
        <v>1</v>
      </c>
      <c r="I69" s="14">
        <v>149.99</v>
      </c>
      <c r="J69" s="12" t="s">
        <v>47</v>
      </c>
      <c r="K69" s="12" t="s">
        <v>48</v>
      </c>
      <c r="L69" s="12" t="s">
        <v>63</v>
      </c>
      <c r="M69" s="13">
        <v>44909</v>
      </c>
      <c r="N69" s="14">
        <v>149.99</v>
      </c>
    </row>
    <row r="70" spans="1:14" ht="15" thickBot="1" x14ac:dyDescent="0.4">
      <c r="A70" s="12" t="s">
        <v>218</v>
      </c>
      <c r="B70" s="13">
        <v>45484</v>
      </c>
      <c r="C70" s="12" t="s">
        <v>219</v>
      </c>
      <c r="D70" s="12" t="s">
        <v>220</v>
      </c>
      <c r="E70" s="12" t="s">
        <v>132</v>
      </c>
      <c r="F70" s="12" t="s">
        <v>133</v>
      </c>
      <c r="G70" s="12" t="s">
        <v>73</v>
      </c>
      <c r="H70" s="14">
        <v>1</v>
      </c>
      <c r="I70" s="14">
        <v>299.99</v>
      </c>
      <c r="J70" s="12" t="s">
        <v>53</v>
      </c>
      <c r="K70" s="12" t="s">
        <v>67</v>
      </c>
      <c r="L70" s="12" t="s">
        <v>54</v>
      </c>
      <c r="M70" s="13">
        <v>44891</v>
      </c>
      <c r="N70" s="14">
        <v>299.99</v>
      </c>
    </row>
    <row r="71" spans="1:14" ht="15" thickBot="1" x14ac:dyDescent="0.4">
      <c r="A71" s="12" t="s">
        <v>221</v>
      </c>
      <c r="B71" s="13">
        <v>45487</v>
      </c>
      <c r="C71" s="12" t="s">
        <v>219</v>
      </c>
      <c r="D71" s="12" t="s">
        <v>220</v>
      </c>
      <c r="E71" s="12" t="s">
        <v>153</v>
      </c>
      <c r="F71" s="12" t="s">
        <v>154</v>
      </c>
      <c r="G71" s="12" t="s">
        <v>73</v>
      </c>
      <c r="H71" s="14">
        <v>2</v>
      </c>
      <c r="I71" s="14">
        <v>199.99</v>
      </c>
      <c r="J71" s="12" t="s">
        <v>47</v>
      </c>
      <c r="K71" s="12" t="s">
        <v>67</v>
      </c>
      <c r="L71" s="12" t="s">
        <v>49</v>
      </c>
      <c r="M71" s="13">
        <v>44541</v>
      </c>
      <c r="N71" s="14">
        <v>399.98</v>
      </c>
    </row>
    <row r="72" spans="1:14" ht="15" thickBot="1" x14ac:dyDescent="0.4">
      <c r="A72" s="12" t="s">
        <v>222</v>
      </c>
      <c r="B72" s="13">
        <v>45490</v>
      </c>
      <c r="C72" s="12" t="s">
        <v>223</v>
      </c>
      <c r="D72" s="12" t="s">
        <v>224</v>
      </c>
      <c r="E72" s="12" t="s">
        <v>58</v>
      </c>
      <c r="F72" s="12" t="s">
        <v>59</v>
      </c>
      <c r="G72" s="12" t="s">
        <v>60</v>
      </c>
      <c r="H72" s="14">
        <v>3</v>
      </c>
      <c r="I72" s="14">
        <v>59.99</v>
      </c>
      <c r="J72" s="12" t="s">
        <v>53</v>
      </c>
      <c r="K72" s="12" t="s">
        <v>77</v>
      </c>
      <c r="L72" s="12" t="s">
        <v>49</v>
      </c>
      <c r="M72" s="13">
        <v>45130</v>
      </c>
      <c r="N72" s="14">
        <v>179.97</v>
      </c>
    </row>
    <row r="73" spans="1:14" ht="15" thickBot="1" x14ac:dyDescent="0.4">
      <c r="A73" s="12" t="s">
        <v>225</v>
      </c>
      <c r="B73" s="13">
        <v>45490</v>
      </c>
      <c r="C73" s="12" t="s">
        <v>99</v>
      </c>
      <c r="D73" s="12" t="s">
        <v>100</v>
      </c>
      <c r="E73" s="12" t="s">
        <v>71</v>
      </c>
      <c r="F73" s="12" t="s">
        <v>72</v>
      </c>
      <c r="G73" s="12" t="s">
        <v>73</v>
      </c>
      <c r="H73" s="14">
        <v>3</v>
      </c>
      <c r="I73" s="14">
        <v>149.99</v>
      </c>
      <c r="J73" s="12" t="s">
        <v>47</v>
      </c>
      <c r="K73" s="12" t="s">
        <v>48</v>
      </c>
      <c r="L73" s="12" t="s">
        <v>54</v>
      </c>
      <c r="M73" s="13">
        <v>45199</v>
      </c>
      <c r="N73" s="14">
        <v>449.97</v>
      </c>
    </row>
    <row r="74" spans="1:14" ht="15" thickBot="1" x14ac:dyDescent="0.4">
      <c r="A74" s="12" t="s">
        <v>226</v>
      </c>
      <c r="B74" s="13">
        <v>45491</v>
      </c>
      <c r="C74" s="12" t="s">
        <v>92</v>
      </c>
      <c r="D74" s="12" t="s">
        <v>93</v>
      </c>
      <c r="E74" s="12" t="s">
        <v>153</v>
      </c>
      <c r="F74" s="12" t="s">
        <v>154</v>
      </c>
      <c r="G74" s="12" t="s">
        <v>73</v>
      </c>
      <c r="H74" s="14">
        <v>3</v>
      </c>
      <c r="I74" s="14">
        <v>199.99</v>
      </c>
      <c r="J74" s="12" t="s">
        <v>47</v>
      </c>
      <c r="K74" s="12" t="s">
        <v>67</v>
      </c>
      <c r="L74" s="12" t="s">
        <v>54</v>
      </c>
      <c r="M74" s="13">
        <v>45254</v>
      </c>
      <c r="N74" s="14">
        <v>599.97</v>
      </c>
    </row>
    <row r="75" spans="1:14" ht="15" thickBot="1" x14ac:dyDescent="0.4">
      <c r="A75" s="12" t="s">
        <v>227</v>
      </c>
      <c r="B75" s="13">
        <v>45496</v>
      </c>
      <c r="C75" s="12" t="s">
        <v>177</v>
      </c>
      <c r="D75" s="12" t="s">
        <v>178</v>
      </c>
      <c r="E75" s="12" t="s">
        <v>88</v>
      </c>
      <c r="F75" s="12" t="s">
        <v>89</v>
      </c>
      <c r="G75" s="12" t="s">
        <v>46</v>
      </c>
      <c r="H75" s="14">
        <v>1</v>
      </c>
      <c r="I75" s="14">
        <v>899.99</v>
      </c>
      <c r="J75" s="12" t="s">
        <v>47</v>
      </c>
      <c r="K75" s="12" t="s">
        <v>48</v>
      </c>
      <c r="L75" s="12" t="s">
        <v>63</v>
      </c>
      <c r="M75" s="13">
        <v>45179</v>
      </c>
      <c r="N75" s="14">
        <v>899.99</v>
      </c>
    </row>
    <row r="76" spans="1:14" ht="15" thickBot="1" x14ac:dyDescent="0.4">
      <c r="A76" s="12" t="s">
        <v>228</v>
      </c>
      <c r="B76" s="13">
        <v>45497</v>
      </c>
      <c r="C76" s="12" t="s">
        <v>51</v>
      </c>
      <c r="D76" s="12" t="s">
        <v>52</v>
      </c>
      <c r="E76" s="12" t="s">
        <v>88</v>
      </c>
      <c r="F76" s="12" t="s">
        <v>89</v>
      </c>
      <c r="G76" s="12" t="s">
        <v>46</v>
      </c>
      <c r="H76" s="14">
        <v>5</v>
      </c>
      <c r="I76" s="14">
        <v>899.99</v>
      </c>
      <c r="J76" s="12" t="s">
        <v>84</v>
      </c>
      <c r="K76" s="12" t="s">
        <v>62</v>
      </c>
      <c r="L76" s="12" t="s">
        <v>63</v>
      </c>
      <c r="M76" s="13">
        <v>44899</v>
      </c>
      <c r="N76" s="14">
        <v>4499.95</v>
      </c>
    </row>
    <row r="77" spans="1:14" ht="15" thickBot="1" x14ac:dyDescent="0.4">
      <c r="A77" s="12" t="s">
        <v>229</v>
      </c>
      <c r="B77" s="13">
        <v>45498</v>
      </c>
      <c r="C77" s="12" t="s">
        <v>209</v>
      </c>
      <c r="D77" s="12" t="s">
        <v>210</v>
      </c>
      <c r="E77" s="12" t="s">
        <v>58</v>
      </c>
      <c r="F77" s="12" t="s">
        <v>59</v>
      </c>
      <c r="G77" s="12" t="s">
        <v>60</v>
      </c>
      <c r="H77" s="14">
        <v>2</v>
      </c>
      <c r="I77" s="14">
        <v>59.99</v>
      </c>
      <c r="J77" s="12" t="s">
        <v>47</v>
      </c>
      <c r="K77" s="12" t="s">
        <v>67</v>
      </c>
      <c r="L77" s="12" t="s">
        <v>63</v>
      </c>
      <c r="M77" s="13">
        <v>45152</v>
      </c>
      <c r="N77" s="14">
        <v>119.98</v>
      </c>
    </row>
    <row r="78" spans="1:14" ht="15" thickBot="1" x14ac:dyDescent="0.4">
      <c r="A78" s="12" t="s">
        <v>230</v>
      </c>
      <c r="B78" s="13">
        <v>45498</v>
      </c>
      <c r="C78" s="12" t="s">
        <v>223</v>
      </c>
      <c r="D78" s="12" t="s">
        <v>224</v>
      </c>
      <c r="E78" s="12" t="s">
        <v>44</v>
      </c>
      <c r="F78" s="12" t="s">
        <v>45</v>
      </c>
      <c r="G78" s="12" t="s">
        <v>46</v>
      </c>
      <c r="H78" s="14">
        <v>4</v>
      </c>
      <c r="I78" s="14">
        <v>249.99</v>
      </c>
      <c r="J78" s="12" t="s">
        <v>84</v>
      </c>
      <c r="K78" s="12" t="s">
        <v>48</v>
      </c>
      <c r="L78" s="12" t="s">
        <v>63</v>
      </c>
      <c r="M78" s="13">
        <v>45127</v>
      </c>
      <c r="N78" s="14">
        <v>999.96</v>
      </c>
    </row>
    <row r="79" spans="1:14" ht="15" thickBot="1" x14ac:dyDescent="0.4">
      <c r="A79" s="12" t="s">
        <v>231</v>
      </c>
      <c r="B79" s="13">
        <v>45500</v>
      </c>
      <c r="C79" s="12" t="s">
        <v>123</v>
      </c>
      <c r="D79" s="12" t="s">
        <v>124</v>
      </c>
      <c r="E79" s="12" t="s">
        <v>44</v>
      </c>
      <c r="F79" s="12" t="s">
        <v>45</v>
      </c>
      <c r="G79" s="12" t="s">
        <v>46</v>
      </c>
      <c r="H79" s="14">
        <v>2</v>
      </c>
      <c r="I79" s="14">
        <v>249.99</v>
      </c>
      <c r="J79" s="12" t="s">
        <v>47</v>
      </c>
      <c r="K79" s="12" t="s">
        <v>67</v>
      </c>
      <c r="L79" s="12" t="s">
        <v>54</v>
      </c>
      <c r="M79" s="13">
        <v>45164</v>
      </c>
      <c r="N79" s="14">
        <v>499.98</v>
      </c>
    </row>
    <row r="80" spans="1:14" ht="15" thickBot="1" x14ac:dyDescent="0.4">
      <c r="A80" s="12" t="s">
        <v>232</v>
      </c>
      <c r="B80" s="13">
        <v>45500</v>
      </c>
      <c r="C80" s="12" t="s">
        <v>174</v>
      </c>
      <c r="D80" s="12" t="s">
        <v>175</v>
      </c>
      <c r="E80" s="12" t="s">
        <v>132</v>
      </c>
      <c r="F80" s="12" t="s">
        <v>133</v>
      </c>
      <c r="G80" s="12" t="s">
        <v>73</v>
      </c>
      <c r="H80" s="14">
        <v>1</v>
      </c>
      <c r="I80" s="14">
        <v>299.99</v>
      </c>
      <c r="J80" s="12" t="s">
        <v>47</v>
      </c>
      <c r="K80" s="12" t="s">
        <v>62</v>
      </c>
      <c r="L80" s="12" t="s">
        <v>49</v>
      </c>
      <c r="M80" s="13">
        <v>44982</v>
      </c>
      <c r="N80" s="14">
        <v>299.99</v>
      </c>
    </row>
    <row r="81" spans="1:14" ht="15" thickBot="1" x14ac:dyDescent="0.4">
      <c r="A81" s="12" t="s">
        <v>233</v>
      </c>
      <c r="B81" s="13">
        <v>45501</v>
      </c>
      <c r="C81" s="12" t="s">
        <v>113</v>
      </c>
      <c r="D81" s="12" t="s">
        <v>114</v>
      </c>
      <c r="E81" s="12" t="s">
        <v>144</v>
      </c>
      <c r="F81" s="12" t="s">
        <v>145</v>
      </c>
      <c r="G81" s="12" t="s">
        <v>46</v>
      </c>
      <c r="H81" s="14">
        <v>2</v>
      </c>
      <c r="I81" s="14">
        <v>89.99</v>
      </c>
      <c r="J81" s="12" t="s">
        <v>61</v>
      </c>
      <c r="K81" s="12" t="s">
        <v>62</v>
      </c>
      <c r="L81" s="12" t="s">
        <v>49</v>
      </c>
      <c r="M81" s="13">
        <v>44976</v>
      </c>
      <c r="N81" s="14">
        <v>179.98</v>
      </c>
    </row>
    <row r="82" spans="1:14" ht="15" thickBot="1" x14ac:dyDescent="0.4">
      <c r="A82" s="12" t="s">
        <v>234</v>
      </c>
      <c r="B82" s="13">
        <v>45501</v>
      </c>
      <c r="C82" s="12" t="s">
        <v>174</v>
      </c>
      <c r="D82" s="12" t="s">
        <v>175</v>
      </c>
      <c r="E82" s="12" t="s">
        <v>132</v>
      </c>
      <c r="F82" s="12" t="s">
        <v>133</v>
      </c>
      <c r="G82" s="12" t="s">
        <v>73</v>
      </c>
      <c r="H82" s="14">
        <v>3</v>
      </c>
      <c r="I82" s="14">
        <v>299.99</v>
      </c>
      <c r="J82" s="12" t="s">
        <v>47</v>
      </c>
      <c r="K82" s="12" t="s">
        <v>48</v>
      </c>
      <c r="L82" s="12" t="s">
        <v>49</v>
      </c>
      <c r="M82" s="13">
        <v>44732</v>
      </c>
      <c r="N82" s="14">
        <v>899.97</v>
      </c>
    </row>
    <row r="83" spans="1:14" ht="15" thickBot="1" x14ac:dyDescent="0.4">
      <c r="A83" s="12" t="s">
        <v>235</v>
      </c>
      <c r="B83" s="13">
        <v>45503</v>
      </c>
      <c r="C83" s="12" t="s">
        <v>113</v>
      </c>
      <c r="D83" s="12" t="s">
        <v>114</v>
      </c>
      <c r="E83" s="12" t="s">
        <v>107</v>
      </c>
      <c r="F83" s="12" t="s">
        <v>108</v>
      </c>
      <c r="G83" s="12" t="s">
        <v>46</v>
      </c>
      <c r="H83" s="14">
        <v>2</v>
      </c>
      <c r="I83" s="14">
        <v>699.99</v>
      </c>
      <c r="J83" s="12" t="s">
        <v>53</v>
      </c>
      <c r="K83" s="12" t="s">
        <v>67</v>
      </c>
      <c r="L83" s="12" t="s">
        <v>54</v>
      </c>
      <c r="M83" s="13">
        <v>44999</v>
      </c>
      <c r="N83" s="14">
        <v>1399.98</v>
      </c>
    </row>
    <row r="84" spans="1:14" ht="15" thickBot="1" x14ac:dyDescent="0.4">
      <c r="A84" s="12" t="s">
        <v>236</v>
      </c>
      <c r="B84" s="13">
        <v>45504</v>
      </c>
      <c r="C84" s="12" t="s">
        <v>147</v>
      </c>
      <c r="D84" s="12" t="s">
        <v>148</v>
      </c>
      <c r="E84" s="12" t="s">
        <v>88</v>
      </c>
      <c r="F84" s="12" t="s">
        <v>89</v>
      </c>
      <c r="G84" s="12" t="s">
        <v>46</v>
      </c>
      <c r="H84" s="14">
        <v>4</v>
      </c>
      <c r="I84" s="14">
        <v>899.99</v>
      </c>
      <c r="J84" s="12" t="s">
        <v>84</v>
      </c>
      <c r="K84" s="12" t="s">
        <v>62</v>
      </c>
      <c r="L84" s="12" t="s">
        <v>63</v>
      </c>
      <c r="M84" s="13">
        <v>44523</v>
      </c>
      <c r="N84" s="14">
        <v>3599.96</v>
      </c>
    </row>
    <row r="85" spans="1:14" ht="15" thickBot="1" x14ac:dyDescent="0.4">
      <c r="A85" s="12" t="s">
        <v>237</v>
      </c>
      <c r="B85" s="13">
        <v>45509</v>
      </c>
      <c r="C85" s="12" t="s">
        <v>238</v>
      </c>
      <c r="D85" s="12" t="s">
        <v>239</v>
      </c>
      <c r="E85" s="12" t="s">
        <v>71</v>
      </c>
      <c r="F85" s="12" t="s">
        <v>72</v>
      </c>
      <c r="G85" s="12" t="s">
        <v>73</v>
      </c>
      <c r="H85" s="14">
        <v>2</v>
      </c>
      <c r="I85" s="14">
        <v>149.99</v>
      </c>
      <c r="J85" s="12" t="s">
        <v>53</v>
      </c>
      <c r="K85" s="12" t="s">
        <v>77</v>
      </c>
      <c r="L85" s="12" t="s">
        <v>49</v>
      </c>
      <c r="M85" s="13">
        <v>44542</v>
      </c>
      <c r="N85" s="14">
        <v>299.98</v>
      </c>
    </row>
    <row r="86" spans="1:14" ht="15" thickBot="1" x14ac:dyDescent="0.4">
      <c r="A86" s="12" t="s">
        <v>240</v>
      </c>
      <c r="B86" s="13">
        <v>45510</v>
      </c>
      <c r="C86" s="12" t="s">
        <v>129</v>
      </c>
      <c r="D86" s="12" t="s">
        <v>130</v>
      </c>
      <c r="E86" s="12" t="s">
        <v>71</v>
      </c>
      <c r="F86" s="12" t="s">
        <v>72</v>
      </c>
      <c r="G86" s="12" t="s">
        <v>73</v>
      </c>
      <c r="H86" s="14">
        <v>2</v>
      </c>
      <c r="I86" s="14">
        <v>149.99</v>
      </c>
      <c r="J86" s="12" t="s">
        <v>84</v>
      </c>
      <c r="K86" s="12" t="s">
        <v>90</v>
      </c>
      <c r="L86" s="12" t="s">
        <v>63</v>
      </c>
      <c r="M86" s="13">
        <v>44667</v>
      </c>
      <c r="N86" s="14">
        <v>299.98</v>
      </c>
    </row>
    <row r="87" spans="1:14" ht="15" thickBot="1" x14ac:dyDescent="0.4">
      <c r="A87" s="12" t="s">
        <v>241</v>
      </c>
      <c r="B87" s="13">
        <v>45513</v>
      </c>
      <c r="C87" s="12" t="s">
        <v>116</v>
      </c>
      <c r="D87" s="12" t="s">
        <v>117</v>
      </c>
      <c r="E87" s="12" t="s">
        <v>144</v>
      </c>
      <c r="F87" s="12" t="s">
        <v>145</v>
      </c>
      <c r="G87" s="12" t="s">
        <v>46</v>
      </c>
      <c r="H87" s="14">
        <v>1</v>
      </c>
      <c r="I87" s="14">
        <v>89.99</v>
      </c>
      <c r="J87" s="12" t="s">
        <v>53</v>
      </c>
      <c r="K87" s="12" t="s">
        <v>67</v>
      </c>
      <c r="L87" s="12" t="s">
        <v>63</v>
      </c>
      <c r="M87" s="13">
        <v>45393</v>
      </c>
      <c r="N87" s="14">
        <v>89.99</v>
      </c>
    </row>
    <row r="88" spans="1:14" ht="15" thickBot="1" x14ac:dyDescent="0.4">
      <c r="A88" s="12" t="s">
        <v>242</v>
      </c>
      <c r="B88" s="13">
        <v>45515</v>
      </c>
      <c r="C88" s="12" t="s">
        <v>113</v>
      </c>
      <c r="D88" s="12" t="s">
        <v>114</v>
      </c>
      <c r="E88" s="12" t="s">
        <v>132</v>
      </c>
      <c r="F88" s="12" t="s">
        <v>133</v>
      </c>
      <c r="G88" s="12" t="s">
        <v>73</v>
      </c>
      <c r="H88" s="14">
        <v>5</v>
      </c>
      <c r="I88" s="14">
        <v>299.99</v>
      </c>
      <c r="J88" s="12" t="s">
        <v>53</v>
      </c>
      <c r="K88" s="12" t="s">
        <v>67</v>
      </c>
      <c r="L88" s="12" t="s">
        <v>49</v>
      </c>
      <c r="M88" s="13">
        <v>44965</v>
      </c>
      <c r="N88" s="14">
        <v>1499.95</v>
      </c>
    </row>
    <row r="89" spans="1:14" ht="15" thickBot="1" x14ac:dyDescent="0.4">
      <c r="A89" s="12" t="s">
        <v>243</v>
      </c>
      <c r="B89" s="13">
        <v>45517</v>
      </c>
      <c r="C89" s="12" t="s">
        <v>209</v>
      </c>
      <c r="D89" s="12" t="s">
        <v>210</v>
      </c>
      <c r="E89" s="12" t="s">
        <v>79</v>
      </c>
      <c r="F89" s="12" t="s">
        <v>80</v>
      </c>
      <c r="G89" s="12" t="s">
        <v>46</v>
      </c>
      <c r="H89" s="14">
        <v>4</v>
      </c>
      <c r="I89" s="14">
        <v>149.99</v>
      </c>
      <c r="J89" s="12" t="s">
        <v>84</v>
      </c>
      <c r="K89" s="12" t="s">
        <v>62</v>
      </c>
      <c r="L89" s="12" t="s">
        <v>54</v>
      </c>
      <c r="M89" s="13">
        <v>44820</v>
      </c>
      <c r="N89" s="14">
        <v>599.96</v>
      </c>
    </row>
    <row r="90" spans="1:14" ht="15" thickBot="1" x14ac:dyDescent="0.4">
      <c r="A90" s="12" t="s">
        <v>244</v>
      </c>
      <c r="B90" s="13">
        <v>45517</v>
      </c>
      <c r="C90" s="12" t="s">
        <v>212</v>
      </c>
      <c r="D90" s="12" t="s">
        <v>213</v>
      </c>
      <c r="E90" s="12" t="s">
        <v>44</v>
      </c>
      <c r="F90" s="12" t="s">
        <v>45</v>
      </c>
      <c r="G90" s="12" t="s">
        <v>46</v>
      </c>
      <c r="H90" s="14">
        <v>5</v>
      </c>
      <c r="I90" s="14">
        <v>249.99</v>
      </c>
      <c r="J90" s="12" t="s">
        <v>61</v>
      </c>
      <c r="K90" s="12" t="s">
        <v>90</v>
      </c>
      <c r="L90" s="12" t="s">
        <v>54</v>
      </c>
      <c r="M90" s="13">
        <v>44782</v>
      </c>
      <c r="N90" s="14">
        <v>1249.95</v>
      </c>
    </row>
    <row r="91" spans="1:14" ht="15" thickBot="1" x14ac:dyDescent="0.4">
      <c r="A91" s="12" t="s">
        <v>245</v>
      </c>
      <c r="B91" s="13">
        <v>45517</v>
      </c>
      <c r="C91" s="12" t="s">
        <v>92</v>
      </c>
      <c r="D91" s="12" t="s">
        <v>93</v>
      </c>
      <c r="E91" s="12" t="s">
        <v>44</v>
      </c>
      <c r="F91" s="12" t="s">
        <v>45</v>
      </c>
      <c r="G91" s="12" t="s">
        <v>46</v>
      </c>
      <c r="H91" s="14">
        <v>3</v>
      </c>
      <c r="I91" s="14">
        <v>249.99</v>
      </c>
      <c r="J91" s="12" t="s">
        <v>61</v>
      </c>
      <c r="K91" s="12" t="s">
        <v>67</v>
      </c>
      <c r="L91" s="12" t="s">
        <v>54</v>
      </c>
      <c r="M91" s="13">
        <v>44465</v>
      </c>
      <c r="N91" s="14">
        <v>749.97</v>
      </c>
    </row>
    <row r="92" spans="1:14" ht="15" thickBot="1" x14ac:dyDescent="0.4">
      <c r="A92" s="12" t="s">
        <v>246</v>
      </c>
      <c r="B92" s="13">
        <v>45517</v>
      </c>
      <c r="C92" s="12" t="s">
        <v>65</v>
      </c>
      <c r="D92" s="12" t="s">
        <v>66</v>
      </c>
      <c r="E92" s="12" t="s">
        <v>153</v>
      </c>
      <c r="F92" s="12" t="s">
        <v>154</v>
      </c>
      <c r="G92" s="12" t="s">
        <v>73</v>
      </c>
      <c r="H92" s="14">
        <v>4</v>
      </c>
      <c r="I92" s="14">
        <v>199.99</v>
      </c>
      <c r="J92" s="12" t="s">
        <v>47</v>
      </c>
      <c r="K92" s="12" t="s">
        <v>67</v>
      </c>
      <c r="L92" s="12" t="s">
        <v>63</v>
      </c>
      <c r="M92" s="13">
        <v>44458</v>
      </c>
      <c r="N92" s="14">
        <v>799.96</v>
      </c>
    </row>
    <row r="93" spans="1:14" ht="15" thickBot="1" x14ac:dyDescent="0.4">
      <c r="A93" s="12" t="s">
        <v>247</v>
      </c>
      <c r="B93" s="13">
        <v>45519</v>
      </c>
      <c r="C93" s="12" t="s">
        <v>185</v>
      </c>
      <c r="D93" s="12" t="s">
        <v>186</v>
      </c>
      <c r="E93" s="12" t="s">
        <v>153</v>
      </c>
      <c r="F93" s="12" t="s">
        <v>154</v>
      </c>
      <c r="G93" s="12" t="s">
        <v>73</v>
      </c>
      <c r="H93" s="14">
        <v>5</v>
      </c>
      <c r="I93" s="14">
        <v>199.99</v>
      </c>
      <c r="J93" s="12" t="s">
        <v>47</v>
      </c>
      <c r="K93" s="12" t="s">
        <v>67</v>
      </c>
      <c r="L93" s="12" t="s">
        <v>54</v>
      </c>
      <c r="M93" s="13">
        <v>44991</v>
      </c>
      <c r="N93" s="14">
        <v>999.95</v>
      </c>
    </row>
    <row r="94" spans="1:14" ht="15" thickBot="1" x14ac:dyDescent="0.4">
      <c r="A94" s="12" t="s">
        <v>248</v>
      </c>
      <c r="B94" s="13">
        <v>45522</v>
      </c>
      <c r="C94" s="12" t="s">
        <v>113</v>
      </c>
      <c r="D94" s="12" t="s">
        <v>114</v>
      </c>
      <c r="E94" s="12" t="s">
        <v>144</v>
      </c>
      <c r="F94" s="12" t="s">
        <v>145</v>
      </c>
      <c r="G94" s="12" t="s">
        <v>46</v>
      </c>
      <c r="H94" s="14">
        <v>2</v>
      </c>
      <c r="I94" s="14">
        <v>89.99</v>
      </c>
      <c r="J94" s="12" t="s">
        <v>47</v>
      </c>
      <c r="K94" s="12" t="s">
        <v>90</v>
      </c>
      <c r="L94" s="12" t="s">
        <v>54</v>
      </c>
      <c r="M94" s="13">
        <v>44972</v>
      </c>
      <c r="N94" s="14">
        <v>179.98</v>
      </c>
    </row>
    <row r="95" spans="1:14" ht="15" thickBot="1" x14ac:dyDescent="0.4">
      <c r="A95" s="12" t="s">
        <v>249</v>
      </c>
      <c r="B95" s="13">
        <v>45523</v>
      </c>
      <c r="C95" s="12" t="s">
        <v>223</v>
      </c>
      <c r="D95" s="12" t="s">
        <v>224</v>
      </c>
      <c r="E95" s="12" t="s">
        <v>88</v>
      </c>
      <c r="F95" s="12" t="s">
        <v>89</v>
      </c>
      <c r="G95" s="12" t="s">
        <v>46</v>
      </c>
      <c r="H95" s="14">
        <v>5</v>
      </c>
      <c r="I95" s="14">
        <v>899.99</v>
      </c>
      <c r="J95" s="12" t="s">
        <v>84</v>
      </c>
      <c r="K95" s="12" t="s">
        <v>90</v>
      </c>
      <c r="L95" s="12" t="s">
        <v>49</v>
      </c>
      <c r="M95" s="13">
        <v>44526</v>
      </c>
      <c r="N95" s="14">
        <v>4499.95</v>
      </c>
    </row>
    <row r="96" spans="1:14" ht="15" thickBot="1" x14ac:dyDescent="0.4">
      <c r="A96" s="12" t="s">
        <v>250</v>
      </c>
      <c r="B96" s="13">
        <v>45523</v>
      </c>
      <c r="C96" s="12" t="s">
        <v>135</v>
      </c>
      <c r="D96" s="12" t="s">
        <v>136</v>
      </c>
      <c r="E96" s="12" t="s">
        <v>79</v>
      </c>
      <c r="F96" s="12" t="s">
        <v>80</v>
      </c>
      <c r="G96" s="12" t="s">
        <v>46</v>
      </c>
      <c r="H96" s="14">
        <v>3</v>
      </c>
      <c r="I96" s="14">
        <v>149.99</v>
      </c>
      <c r="J96" s="12" t="s">
        <v>61</v>
      </c>
      <c r="K96" s="12" t="s">
        <v>90</v>
      </c>
      <c r="L96" s="12" t="s">
        <v>49</v>
      </c>
      <c r="M96" s="13">
        <v>44574</v>
      </c>
      <c r="N96" s="14">
        <v>449.97</v>
      </c>
    </row>
    <row r="97" spans="1:14" ht="15" thickBot="1" x14ac:dyDescent="0.4">
      <c r="A97" s="12" t="s">
        <v>251</v>
      </c>
      <c r="B97" s="13">
        <v>45526</v>
      </c>
      <c r="C97" s="12" t="s">
        <v>129</v>
      </c>
      <c r="D97" s="12" t="s">
        <v>130</v>
      </c>
      <c r="E97" s="12" t="s">
        <v>71</v>
      </c>
      <c r="F97" s="12" t="s">
        <v>72</v>
      </c>
      <c r="G97" s="12" t="s">
        <v>73</v>
      </c>
      <c r="H97" s="14">
        <v>5</v>
      </c>
      <c r="I97" s="14">
        <v>149.99</v>
      </c>
      <c r="J97" s="12" t="s">
        <v>53</v>
      </c>
      <c r="K97" s="12" t="s">
        <v>48</v>
      </c>
      <c r="L97" s="12" t="s">
        <v>49</v>
      </c>
      <c r="M97" s="13">
        <v>45310</v>
      </c>
      <c r="N97" s="14">
        <v>749.95</v>
      </c>
    </row>
    <row r="98" spans="1:14" ht="15" thickBot="1" x14ac:dyDescent="0.4">
      <c r="A98" s="12" t="s">
        <v>252</v>
      </c>
      <c r="B98" s="13">
        <v>45528</v>
      </c>
      <c r="C98" s="12" t="s">
        <v>253</v>
      </c>
      <c r="D98" s="12" t="s">
        <v>254</v>
      </c>
      <c r="E98" s="12" t="s">
        <v>141</v>
      </c>
      <c r="F98" s="12" t="s">
        <v>142</v>
      </c>
      <c r="G98" s="12" t="s">
        <v>60</v>
      </c>
      <c r="H98" s="14">
        <v>3</v>
      </c>
      <c r="I98" s="14">
        <v>79.989999999999995</v>
      </c>
      <c r="J98" s="12" t="s">
        <v>47</v>
      </c>
      <c r="K98" s="12" t="s">
        <v>48</v>
      </c>
      <c r="L98" s="12" t="s">
        <v>54</v>
      </c>
      <c r="M98" s="13">
        <v>44779</v>
      </c>
      <c r="N98" s="14">
        <v>239.97</v>
      </c>
    </row>
    <row r="99" spans="1:14" ht="15" thickBot="1" x14ac:dyDescent="0.4">
      <c r="A99" s="12" t="s">
        <v>255</v>
      </c>
      <c r="B99" s="13">
        <v>45528</v>
      </c>
      <c r="C99" s="12" t="s">
        <v>171</v>
      </c>
      <c r="D99" s="12" t="s">
        <v>172</v>
      </c>
      <c r="E99" s="12" t="s">
        <v>44</v>
      </c>
      <c r="F99" s="12" t="s">
        <v>45</v>
      </c>
      <c r="G99" s="12" t="s">
        <v>46</v>
      </c>
      <c r="H99" s="14">
        <v>2</v>
      </c>
      <c r="I99" s="14">
        <v>249.99</v>
      </c>
      <c r="J99" s="12" t="s">
        <v>47</v>
      </c>
      <c r="K99" s="12" t="s">
        <v>62</v>
      </c>
      <c r="L99" s="12" t="s">
        <v>63</v>
      </c>
      <c r="M99" s="13">
        <v>44572</v>
      </c>
      <c r="N99" s="14">
        <v>499.98</v>
      </c>
    </row>
    <row r="100" spans="1:14" ht="15" thickBot="1" x14ac:dyDescent="0.4">
      <c r="A100" s="12" t="s">
        <v>256</v>
      </c>
      <c r="B100" s="13">
        <v>45532</v>
      </c>
      <c r="C100" s="12" t="s">
        <v>223</v>
      </c>
      <c r="D100" s="12" t="s">
        <v>224</v>
      </c>
      <c r="E100" s="12" t="s">
        <v>107</v>
      </c>
      <c r="F100" s="12" t="s">
        <v>108</v>
      </c>
      <c r="G100" s="12" t="s">
        <v>46</v>
      </c>
      <c r="H100" s="14">
        <v>1</v>
      </c>
      <c r="I100" s="14">
        <v>699.99</v>
      </c>
      <c r="J100" s="12" t="s">
        <v>47</v>
      </c>
      <c r="K100" s="12" t="s">
        <v>48</v>
      </c>
      <c r="L100" s="12" t="s">
        <v>54</v>
      </c>
      <c r="M100" s="13">
        <v>44497</v>
      </c>
      <c r="N100" s="14">
        <v>699.99</v>
      </c>
    </row>
    <row r="101" spans="1:14" ht="15" thickBot="1" x14ac:dyDescent="0.4">
      <c r="A101" s="12" t="s">
        <v>257</v>
      </c>
      <c r="B101" s="13">
        <v>45532</v>
      </c>
      <c r="C101" s="12" t="s">
        <v>258</v>
      </c>
      <c r="D101" s="12" t="s">
        <v>259</v>
      </c>
      <c r="E101" s="12" t="s">
        <v>79</v>
      </c>
      <c r="F101" s="12" t="s">
        <v>80</v>
      </c>
      <c r="G101" s="12" t="s">
        <v>46</v>
      </c>
      <c r="H101" s="14">
        <v>3</v>
      </c>
      <c r="I101" s="14">
        <v>149.99</v>
      </c>
      <c r="J101" s="12" t="s">
        <v>47</v>
      </c>
      <c r="K101" s="12" t="s">
        <v>77</v>
      </c>
      <c r="L101" s="12" t="s">
        <v>54</v>
      </c>
      <c r="M101" s="13">
        <v>45212</v>
      </c>
      <c r="N101" s="14">
        <v>449.97</v>
      </c>
    </row>
    <row r="102" spans="1:14" ht="15" thickBot="1" x14ac:dyDescent="0.4">
      <c r="A102" s="12" t="s">
        <v>260</v>
      </c>
      <c r="B102" s="13">
        <v>45534</v>
      </c>
      <c r="C102" s="12" t="s">
        <v>261</v>
      </c>
      <c r="D102" s="12" t="s">
        <v>262</v>
      </c>
      <c r="E102" s="12" t="s">
        <v>107</v>
      </c>
      <c r="F102" s="12" t="s">
        <v>108</v>
      </c>
      <c r="G102" s="12" t="s">
        <v>46</v>
      </c>
      <c r="H102" s="14">
        <v>2</v>
      </c>
      <c r="I102" s="14">
        <v>699.99</v>
      </c>
      <c r="J102" s="12" t="s">
        <v>53</v>
      </c>
      <c r="K102" s="12" t="s">
        <v>67</v>
      </c>
      <c r="L102" s="12" t="s">
        <v>54</v>
      </c>
      <c r="M102" s="13">
        <v>44421</v>
      </c>
      <c r="N102" s="14">
        <v>1399.98</v>
      </c>
    </row>
    <row r="103" spans="1:14" ht="15" thickBot="1" x14ac:dyDescent="0.4">
      <c r="A103" s="12" t="s">
        <v>263</v>
      </c>
      <c r="B103" s="13">
        <v>45537</v>
      </c>
      <c r="C103" s="12" t="s">
        <v>258</v>
      </c>
      <c r="D103" s="12" t="s">
        <v>259</v>
      </c>
      <c r="E103" s="12" t="s">
        <v>44</v>
      </c>
      <c r="F103" s="12" t="s">
        <v>45</v>
      </c>
      <c r="G103" s="12" t="s">
        <v>46</v>
      </c>
      <c r="H103" s="14">
        <v>1</v>
      </c>
      <c r="I103" s="14">
        <v>249.99</v>
      </c>
      <c r="J103" s="12" t="s">
        <v>53</v>
      </c>
      <c r="K103" s="12" t="s">
        <v>77</v>
      </c>
      <c r="L103" s="12" t="s">
        <v>54</v>
      </c>
      <c r="M103" s="13">
        <v>44685</v>
      </c>
      <c r="N103" s="14">
        <v>249.99</v>
      </c>
    </row>
    <row r="104" spans="1:14" ht="15" thickBot="1" x14ac:dyDescent="0.4">
      <c r="A104" s="12" t="s">
        <v>264</v>
      </c>
      <c r="B104" s="13">
        <v>45537</v>
      </c>
      <c r="C104" s="12" t="s">
        <v>42</v>
      </c>
      <c r="D104" s="12" t="s">
        <v>43</v>
      </c>
      <c r="E104" s="12" t="s">
        <v>44</v>
      </c>
      <c r="F104" s="12" t="s">
        <v>45</v>
      </c>
      <c r="G104" s="12" t="s">
        <v>46</v>
      </c>
      <c r="H104" s="14">
        <v>1</v>
      </c>
      <c r="I104" s="14">
        <v>249.99</v>
      </c>
      <c r="J104" s="12" t="s">
        <v>84</v>
      </c>
      <c r="K104" s="12" t="s">
        <v>67</v>
      </c>
      <c r="L104" s="12" t="s">
        <v>54</v>
      </c>
      <c r="M104" s="13">
        <v>45332</v>
      </c>
      <c r="N104" s="14">
        <v>249.99</v>
      </c>
    </row>
    <row r="105" spans="1:14" ht="15" thickBot="1" x14ac:dyDescent="0.4">
      <c r="A105" s="12" t="s">
        <v>265</v>
      </c>
      <c r="B105" s="13">
        <v>45538</v>
      </c>
      <c r="C105" s="12" t="s">
        <v>253</v>
      </c>
      <c r="D105" s="12" t="s">
        <v>254</v>
      </c>
      <c r="E105" s="12" t="s">
        <v>107</v>
      </c>
      <c r="F105" s="12" t="s">
        <v>108</v>
      </c>
      <c r="G105" s="12" t="s">
        <v>46</v>
      </c>
      <c r="H105" s="14">
        <v>2</v>
      </c>
      <c r="I105" s="14">
        <v>699.99</v>
      </c>
      <c r="J105" s="12" t="s">
        <v>84</v>
      </c>
      <c r="K105" s="12" t="s">
        <v>48</v>
      </c>
      <c r="L105" s="12" t="s">
        <v>54</v>
      </c>
      <c r="M105" s="13">
        <v>44870</v>
      </c>
      <c r="N105" s="14">
        <v>1399.98</v>
      </c>
    </row>
    <row r="106" spans="1:14" ht="15" thickBot="1" x14ac:dyDescent="0.4">
      <c r="A106" s="12" t="s">
        <v>266</v>
      </c>
      <c r="B106" s="13">
        <v>45541</v>
      </c>
      <c r="C106" s="12" t="s">
        <v>165</v>
      </c>
      <c r="D106" s="12" t="s">
        <v>166</v>
      </c>
      <c r="E106" s="12" t="s">
        <v>58</v>
      </c>
      <c r="F106" s="12" t="s">
        <v>59</v>
      </c>
      <c r="G106" s="12" t="s">
        <v>60</v>
      </c>
      <c r="H106" s="14">
        <v>3</v>
      </c>
      <c r="I106" s="14">
        <v>59.99</v>
      </c>
      <c r="J106" s="12" t="s">
        <v>53</v>
      </c>
      <c r="K106" s="12" t="s">
        <v>48</v>
      </c>
      <c r="L106" s="12" t="s">
        <v>54</v>
      </c>
      <c r="M106" s="13">
        <v>44717</v>
      </c>
      <c r="N106" s="14">
        <v>179.97</v>
      </c>
    </row>
    <row r="107" spans="1:14" ht="15" thickBot="1" x14ac:dyDescent="0.4">
      <c r="A107" s="12" t="s">
        <v>267</v>
      </c>
      <c r="B107" s="13">
        <v>45544</v>
      </c>
      <c r="C107" s="12" t="s">
        <v>159</v>
      </c>
      <c r="D107" s="12" t="s">
        <v>160</v>
      </c>
      <c r="E107" s="12" t="s">
        <v>58</v>
      </c>
      <c r="F107" s="12" t="s">
        <v>59</v>
      </c>
      <c r="G107" s="12" t="s">
        <v>60</v>
      </c>
      <c r="H107" s="14">
        <v>3</v>
      </c>
      <c r="I107" s="14">
        <v>59.99</v>
      </c>
      <c r="J107" s="12" t="s">
        <v>61</v>
      </c>
      <c r="K107" s="12" t="s">
        <v>90</v>
      </c>
      <c r="L107" s="12" t="s">
        <v>63</v>
      </c>
      <c r="M107" s="13">
        <v>44748</v>
      </c>
      <c r="N107" s="14">
        <v>179.97</v>
      </c>
    </row>
    <row r="108" spans="1:14" ht="15" thickBot="1" x14ac:dyDescent="0.4">
      <c r="A108" s="12" t="s">
        <v>268</v>
      </c>
      <c r="B108" s="13">
        <v>45544</v>
      </c>
      <c r="C108" s="12" t="s">
        <v>168</v>
      </c>
      <c r="D108" s="12" t="s">
        <v>169</v>
      </c>
      <c r="E108" s="12" t="s">
        <v>141</v>
      </c>
      <c r="F108" s="12" t="s">
        <v>142</v>
      </c>
      <c r="G108" s="12" t="s">
        <v>60</v>
      </c>
      <c r="H108" s="14">
        <v>4</v>
      </c>
      <c r="I108" s="14">
        <v>79.989999999999995</v>
      </c>
      <c r="J108" s="12" t="s">
        <v>47</v>
      </c>
      <c r="K108" s="12" t="s">
        <v>67</v>
      </c>
      <c r="L108" s="12" t="s">
        <v>49</v>
      </c>
      <c r="M108" s="13">
        <v>44530</v>
      </c>
      <c r="N108" s="14">
        <v>319.95999999999998</v>
      </c>
    </row>
    <row r="109" spans="1:14" ht="15" thickBot="1" x14ac:dyDescent="0.4">
      <c r="A109" s="12" t="s">
        <v>269</v>
      </c>
      <c r="B109" s="13">
        <v>45545</v>
      </c>
      <c r="C109" s="12" t="s">
        <v>82</v>
      </c>
      <c r="D109" s="12" t="s">
        <v>83</v>
      </c>
      <c r="E109" s="12" t="s">
        <v>141</v>
      </c>
      <c r="F109" s="12" t="s">
        <v>142</v>
      </c>
      <c r="G109" s="12" t="s">
        <v>60</v>
      </c>
      <c r="H109" s="14">
        <v>1</v>
      </c>
      <c r="I109" s="14">
        <v>79.989999999999995</v>
      </c>
      <c r="J109" s="12" t="s">
        <v>47</v>
      </c>
      <c r="K109" s="12" t="s">
        <v>77</v>
      </c>
      <c r="L109" s="12" t="s">
        <v>49</v>
      </c>
      <c r="M109" s="13">
        <v>44693</v>
      </c>
      <c r="N109" s="14">
        <v>79.989999999999995</v>
      </c>
    </row>
    <row r="110" spans="1:14" ht="15" thickBot="1" x14ac:dyDescent="0.4">
      <c r="A110" s="12" t="s">
        <v>270</v>
      </c>
      <c r="B110" s="13">
        <v>45547</v>
      </c>
      <c r="C110" s="12" t="s">
        <v>75</v>
      </c>
      <c r="D110" s="12" t="s">
        <v>76</v>
      </c>
      <c r="E110" s="12" t="s">
        <v>132</v>
      </c>
      <c r="F110" s="12" t="s">
        <v>133</v>
      </c>
      <c r="G110" s="12" t="s">
        <v>73</v>
      </c>
      <c r="H110" s="14">
        <v>3</v>
      </c>
      <c r="I110" s="14">
        <v>299.99</v>
      </c>
      <c r="J110" s="12" t="s">
        <v>53</v>
      </c>
      <c r="K110" s="12" t="s">
        <v>48</v>
      </c>
      <c r="L110" s="12" t="s">
        <v>54</v>
      </c>
      <c r="M110" s="13">
        <v>44494</v>
      </c>
      <c r="N110" s="14">
        <v>899.97</v>
      </c>
    </row>
    <row r="111" spans="1:14" ht="15" thickBot="1" x14ac:dyDescent="0.4">
      <c r="A111" s="12" t="s">
        <v>271</v>
      </c>
      <c r="B111" s="13">
        <v>45548</v>
      </c>
      <c r="C111" s="12" t="s">
        <v>65</v>
      </c>
      <c r="D111" s="12" t="s">
        <v>66</v>
      </c>
      <c r="E111" s="12" t="s">
        <v>144</v>
      </c>
      <c r="F111" s="12" t="s">
        <v>145</v>
      </c>
      <c r="G111" s="12" t="s">
        <v>46</v>
      </c>
      <c r="H111" s="14">
        <v>2</v>
      </c>
      <c r="I111" s="14">
        <v>89.99</v>
      </c>
      <c r="J111" s="12" t="s">
        <v>53</v>
      </c>
      <c r="K111" s="12" t="s">
        <v>62</v>
      </c>
      <c r="L111" s="12" t="s">
        <v>54</v>
      </c>
      <c r="M111" s="13">
        <v>44641</v>
      </c>
      <c r="N111" s="14">
        <v>179.98</v>
      </c>
    </row>
    <row r="112" spans="1:14" ht="15" thickBot="1" x14ac:dyDescent="0.4">
      <c r="A112" s="12" t="s">
        <v>272</v>
      </c>
      <c r="B112" s="13">
        <v>45550</v>
      </c>
      <c r="C112" s="12" t="s">
        <v>273</v>
      </c>
      <c r="D112" s="12" t="s">
        <v>274</v>
      </c>
      <c r="E112" s="12" t="s">
        <v>79</v>
      </c>
      <c r="F112" s="12" t="s">
        <v>80</v>
      </c>
      <c r="G112" s="12" t="s">
        <v>46</v>
      </c>
      <c r="H112" s="14">
        <v>4</v>
      </c>
      <c r="I112" s="14">
        <v>149.99</v>
      </c>
      <c r="J112" s="12" t="s">
        <v>47</v>
      </c>
      <c r="K112" s="12" t="s">
        <v>67</v>
      </c>
      <c r="L112" s="12" t="s">
        <v>49</v>
      </c>
      <c r="M112" s="13">
        <v>44909</v>
      </c>
      <c r="N112" s="14">
        <v>599.96</v>
      </c>
    </row>
    <row r="113" spans="1:14" ht="15" thickBot="1" x14ac:dyDescent="0.4">
      <c r="A113" s="12" t="s">
        <v>275</v>
      </c>
      <c r="B113" s="13">
        <v>45551</v>
      </c>
      <c r="C113" s="12" t="s">
        <v>92</v>
      </c>
      <c r="D113" s="12" t="s">
        <v>93</v>
      </c>
      <c r="E113" s="12" t="s">
        <v>44</v>
      </c>
      <c r="F113" s="12" t="s">
        <v>45</v>
      </c>
      <c r="G113" s="12" t="s">
        <v>46</v>
      </c>
      <c r="H113" s="14">
        <v>2</v>
      </c>
      <c r="I113" s="14">
        <v>249.99</v>
      </c>
      <c r="J113" s="12" t="s">
        <v>61</v>
      </c>
      <c r="K113" s="12" t="s">
        <v>62</v>
      </c>
      <c r="L113" s="12" t="s">
        <v>49</v>
      </c>
      <c r="M113" s="13">
        <v>44993</v>
      </c>
      <c r="N113" s="14">
        <v>499.98</v>
      </c>
    </row>
    <row r="114" spans="1:14" ht="15" thickBot="1" x14ac:dyDescent="0.4">
      <c r="A114" s="12" t="s">
        <v>276</v>
      </c>
      <c r="B114" s="13">
        <v>45551</v>
      </c>
      <c r="C114" s="12" t="s">
        <v>181</v>
      </c>
      <c r="D114" s="12" t="s">
        <v>182</v>
      </c>
      <c r="E114" s="12" t="s">
        <v>153</v>
      </c>
      <c r="F114" s="12" t="s">
        <v>154</v>
      </c>
      <c r="G114" s="12" t="s">
        <v>73</v>
      </c>
      <c r="H114" s="14">
        <v>4</v>
      </c>
      <c r="I114" s="14">
        <v>199.99</v>
      </c>
      <c r="J114" s="12" t="s">
        <v>84</v>
      </c>
      <c r="K114" s="12" t="s">
        <v>90</v>
      </c>
      <c r="L114" s="12" t="s">
        <v>49</v>
      </c>
      <c r="M114" s="13">
        <v>44458</v>
      </c>
      <c r="N114" s="14">
        <v>799.96</v>
      </c>
    </row>
    <row r="115" spans="1:14" ht="15" thickBot="1" x14ac:dyDescent="0.4">
      <c r="A115" s="12" t="s">
        <v>277</v>
      </c>
      <c r="B115" s="13">
        <v>45554</v>
      </c>
      <c r="C115" s="12" t="s">
        <v>174</v>
      </c>
      <c r="D115" s="12" t="s">
        <v>175</v>
      </c>
      <c r="E115" s="12" t="s">
        <v>144</v>
      </c>
      <c r="F115" s="12" t="s">
        <v>145</v>
      </c>
      <c r="G115" s="12" t="s">
        <v>46</v>
      </c>
      <c r="H115" s="14">
        <v>5</v>
      </c>
      <c r="I115" s="14">
        <v>89.99</v>
      </c>
      <c r="J115" s="12" t="s">
        <v>53</v>
      </c>
      <c r="K115" s="12" t="s">
        <v>90</v>
      </c>
      <c r="L115" s="12" t="s">
        <v>54</v>
      </c>
      <c r="M115" s="13">
        <v>44446</v>
      </c>
      <c r="N115" s="14">
        <v>449.95</v>
      </c>
    </row>
    <row r="116" spans="1:14" ht="15" thickBot="1" x14ac:dyDescent="0.4">
      <c r="A116" s="12" t="s">
        <v>278</v>
      </c>
      <c r="B116" s="13">
        <v>45554</v>
      </c>
      <c r="C116" s="12" t="s">
        <v>279</v>
      </c>
      <c r="D116" s="12" t="s">
        <v>280</v>
      </c>
      <c r="E116" s="12" t="s">
        <v>79</v>
      </c>
      <c r="F116" s="12" t="s">
        <v>80</v>
      </c>
      <c r="G116" s="12" t="s">
        <v>46</v>
      </c>
      <c r="H116" s="14">
        <v>1</v>
      </c>
      <c r="I116" s="14">
        <v>149.99</v>
      </c>
      <c r="J116" s="12" t="s">
        <v>61</v>
      </c>
      <c r="K116" s="12" t="s">
        <v>90</v>
      </c>
      <c r="L116" s="12" t="s">
        <v>63</v>
      </c>
      <c r="M116" s="13">
        <v>44482</v>
      </c>
      <c r="N116" s="14">
        <v>149.99</v>
      </c>
    </row>
    <row r="117" spans="1:14" ht="15" thickBot="1" x14ac:dyDescent="0.4">
      <c r="A117" s="12" t="s">
        <v>281</v>
      </c>
      <c r="B117" s="13">
        <v>45554</v>
      </c>
      <c r="C117" s="12" t="s">
        <v>99</v>
      </c>
      <c r="D117" s="12" t="s">
        <v>100</v>
      </c>
      <c r="E117" s="12" t="s">
        <v>107</v>
      </c>
      <c r="F117" s="12" t="s">
        <v>108</v>
      </c>
      <c r="G117" s="12" t="s">
        <v>46</v>
      </c>
      <c r="H117" s="14">
        <v>4</v>
      </c>
      <c r="I117" s="14">
        <v>699.99</v>
      </c>
      <c r="J117" s="12" t="s">
        <v>61</v>
      </c>
      <c r="K117" s="12" t="s">
        <v>62</v>
      </c>
      <c r="L117" s="12" t="s">
        <v>49</v>
      </c>
      <c r="M117" s="13">
        <v>44618</v>
      </c>
      <c r="N117" s="14">
        <v>2799.96</v>
      </c>
    </row>
    <row r="118" spans="1:14" ht="15" thickBot="1" x14ac:dyDescent="0.4">
      <c r="A118" s="12" t="s">
        <v>282</v>
      </c>
      <c r="B118" s="13">
        <v>45559</v>
      </c>
      <c r="C118" s="12" t="s">
        <v>261</v>
      </c>
      <c r="D118" s="12" t="s">
        <v>262</v>
      </c>
      <c r="E118" s="12" t="s">
        <v>88</v>
      </c>
      <c r="F118" s="12" t="s">
        <v>89</v>
      </c>
      <c r="G118" s="12" t="s">
        <v>46</v>
      </c>
      <c r="H118" s="14">
        <v>3</v>
      </c>
      <c r="I118" s="14">
        <v>899.99</v>
      </c>
      <c r="J118" s="12" t="s">
        <v>53</v>
      </c>
      <c r="K118" s="12" t="s">
        <v>67</v>
      </c>
      <c r="L118" s="12" t="s">
        <v>63</v>
      </c>
      <c r="M118" s="13">
        <v>45157</v>
      </c>
      <c r="N118" s="14">
        <v>2699.97</v>
      </c>
    </row>
    <row r="119" spans="1:14" ht="15" thickBot="1" x14ac:dyDescent="0.4">
      <c r="A119" s="12" t="s">
        <v>283</v>
      </c>
      <c r="B119" s="13">
        <v>45560</v>
      </c>
      <c r="C119" s="12" t="s">
        <v>139</v>
      </c>
      <c r="D119" s="12" t="s">
        <v>140</v>
      </c>
      <c r="E119" s="12" t="s">
        <v>71</v>
      </c>
      <c r="F119" s="12" t="s">
        <v>72</v>
      </c>
      <c r="G119" s="12" t="s">
        <v>73</v>
      </c>
      <c r="H119" s="14">
        <v>3</v>
      </c>
      <c r="I119" s="14">
        <v>149.99</v>
      </c>
      <c r="J119" s="12" t="s">
        <v>61</v>
      </c>
      <c r="K119" s="12" t="s">
        <v>90</v>
      </c>
      <c r="L119" s="12" t="s">
        <v>49</v>
      </c>
      <c r="M119" s="13">
        <v>44886</v>
      </c>
      <c r="N119" s="14">
        <v>449.97</v>
      </c>
    </row>
    <row r="120" spans="1:14" ht="15" thickBot="1" x14ac:dyDescent="0.4">
      <c r="A120" s="12" t="s">
        <v>284</v>
      </c>
      <c r="B120" s="13">
        <v>45563</v>
      </c>
      <c r="C120" s="12" t="s">
        <v>126</v>
      </c>
      <c r="D120" s="12" t="s">
        <v>127</v>
      </c>
      <c r="E120" s="12" t="s">
        <v>132</v>
      </c>
      <c r="F120" s="12" t="s">
        <v>133</v>
      </c>
      <c r="G120" s="12" t="s">
        <v>73</v>
      </c>
      <c r="H120" s="14">
        <v>2</v>
      </c>
      <c r="I120" s="14">
        <v>299.99</v>
      </c>
      <c r="J120" s="12" t="s">
        <v>84</v>
      </c>
      <c r="K120" s="12" t="s">
        <v>48</v>
      </c>
      <c r="L120" s="12" t="s">
        <v>49</v>
      </c>
      <c r="M120" s="13">
        <v>44569</v>
      </c>
      <c r="N120" s="14">
        <v>599.98</v>
      </c>
    </row>
    <row r="121" spans="1:14" ht="15" thickBot="1" x14ac:dyDescent="0.4">
      <c r="A121" s="12" t="s">
        <v>285</v>
      </c>
      <c r="B121" s="13">
        <v>45564</v>
      </c>
      <c r="C121" s="12" t="s">
        <v>286</v>
      </c>
      <c r="D121" s="12" t="s">
        <v>287</v>
      </c>
      <c r="E121" s="12" t="s">
        <v>153</v>
      </c>
      <c r="F121" s="12" t="s">
        <v>154</v>
      </c>
      <c r="G121" s="12" t="s">
        <v>73</v>
      </c>
      <c r="H121" s="14">
        <v>1</v>
      </c>
      <c r="I121" s="14">
        <v>199.99</v>
      </c>
      <c r="J121" s="12" t="s">
        <v>84</v>
      </c>
      <c r="K121" s="12" t="s">
        <v>90</v>
      </c>
      <c r="L121" s="12" t="s">
        <v>63</v>
      </c>
      <c r="M121" s="13">
        <v>44953</v>
      </c>
      <c r="N121" s="14">
        <v>199.99</v>
      </c>
    </row>
    <row r="122" spans="1:14" ht="15" thickBot="1" x14ac:dyDescent="0.4">
      <c r="A122" s="12" t="s">
        <v>288</v>
      </c>
      <c r="B122" s="13">
        <v>45566</v>
      </c>
      <c r="C122" s="12" t="s">
        <v>69</v>
      </c>
      <c r="D122" s="12" t="s">
        <v>70</v>
      </c>
      <c r="E122" s="12" t="s">
        <v>132</v>
      </c>
      <c r="F122" s="12" t="s">
        <v>133</v>
      </c>
      <c r="G122" s="12" t="s">
        <v>73</v>
      </c>
      <c r="H122" s="14">
        <v>4</v>
      </c>
      <c r="I122" s="14">
        <v>299.99</v>
      </c>
      <c r="J122" s="12" t="s">
        <v>47</v>
      </c>
      <c r="K122" s="12" t="s">
        <v>48</v>
      </c>
      <c r="L122" s="12" t="s">
        <v>54</v>
      </c>
      <c r="M122" s="13">
        <v>44460</v>
      </c>
      <c r="N122" s="14">
        <v>1199.96</v>
      </c>
    </row>
    <row r="123" spans="1:14" ht="15" thickBot="1" x14ac:dyDescent="0.4">
      <c r="A123" s="12" t="s">
        <v>289</v>
      </c>
      <c r="B123" s="13">
        <v>45572</v>
      </c>
      <c r="C123" s="12" t="s">
        <v>116</v>
      </c>
      <c r="D123" s="12" t="s">
        <v>117</v>
      </c>
      <c r="E123" s="12" t="s">
        <v>58</v>
      </c>
      <c r="F123" s="12" t="s">
        <v>59</v>
      </c>
      <c r="G123" s="12" t="s">
        <v>60</v>
      </c>
      <c r="H123" s="14">
        <v>2</v>
      </c>
      <c r="I123" s="14">
        <v>59.99</v>
      </c>
      <c r="J123" s="12" t="s">
        <v>53</v>
      </c>
      <c r="K123" s="12" t="s">
        <v>48</v>
      </c>
      <c r="L123" s="12" t="s">
        <v>49</v>
      </c>
      <c r="M123" s="13">
        <v>44579</v>
      </c>
      <c r="N123" s="14">
        <v>119.98</v>
      </c>
    </row>
    <row r="124" spans="1:14" ht="15" thickBot="1" x14ac:dyDescent="0.4">
      <c r="A124" s="12" t="s">
        <v>290</v>
      </c>
      <c r="B124" s="13">
        <v>45572</v>
      </c>
      <c r="C124" s="12" t="s">
        <v>261</v>
      </c>
      <c r="D124" s="12" t="s">
        <v>262</v>
      </c>
      <c r="E124" s="12" t="s">
        <v>79</v>
      </c>
      <c r="F124" s="12" t="s">
        <v>80</v>
      </c>
      <c r="G124" s="12" t="s">
        <v>46</v>
      </c>
      <c r="H124" s="14">
        <v>4</v>
      </c>
      <c r="I124" s="14">
        <v>149.99</v>
      </c>
      <c r="J124" s="12" t="s">
        <v>53</v>
      </c>
      <c r="K124" s="12" t="s">
        <v>67</v>
      </c>
      <c r="L124" s="12" t="s">
        <v>54</v>
      </c>
      <c r="M124" s="13">
        <v>45076</v>
      </c>
      <c r="N124" s="14">
        <v>599.96</v>
      </c>
    </row>
    <row r="125" spans="1:14" ht="15" thickBot="1" x14ac:dyDescent="0.4">
      <c r="A125" s="12" t="s">
        <v>291</v>
      </c>
      <c r="B125" s="13">
        <v>45573</v>
      </c>
      <c r="C125" s="12" t="s">
        <v>238</v>
      </c>
      <c r="D125" s="12" t="s">
        <v>239</v>
      </c>
      <c r="E125" s="12" t="s">
        <v>107</v>
      </c>
      <c r="F125" s="12" t="s">
        <v>108</v>
      </c>
      <c r="G125" s="12" t="s">
        <v>46</v>
      </c>
      <c r="H125" s="14">
        <v>2</v>
      </c>
      <c r="I125" s="14">
        <v>699.99</v>
      </c>
      <c r="J125" s="12" t="s">
        <v>84</v>
      </c>
      <c r="K125" s="12" t="s">
        <v>90</v>
      </c>
      <c r="L125" s="12" t="s">
        <v>54</v>
      </c>
      <c r="M125" s="13">
        <v>45274</v>
      </c>
      <c r="N125" s="14">
        <v>1399.98</v>
      </c>
    </row>
    <row r="126" spans="1:14" ht="15" thickBot="1" x14ac:dyDescent="0.4">
      <c r="A126" s="12" t="s">
        <v>292</v>
      </c>
      <c r="B126" s="13">
        <v>45573</v>
      </c>
      <c r="C126" s="12" t="s">
        <v>258</v>
      </c>
      <c r="D126" s="12" t="s">
        <v>259</v>
      </c>
      <c r="E126" s="12" t="s">
        <v>71</v>
      </c>
      <c r="F126" s="12" t="s">
        <v>72</v>
      </c>
      <c r="G126" s="12" t="s">
        <v>73</v>
      </c>
      <c r="H126" s="14">
        <v>3</v>
      </c>
      <c r="I126" s="14">
        <v>149.99</v>
      </c>
      <c r="J126" s="12" t="s">
        <v>53</v>
      </c>
      <c r="K126" s="12" t="s">
        <v>62</v>
      </c>
      <c r="L126" s="12" t="s">
        <v>63</v>
      </c>
      <c r="M126" s="13">
        <v>44940</v>
      </c>
      <c r="N126" s="14">
        <v>449.97</v>
      </c>
    </row>
    <row r="127" spans="1:14" ht="15" thickBot="1" x14ac:dyDescent="0.4">
      <c r="A127" s="12" t="s">
        <v>293</v>
      </c>
      <c r="B127" s="13">
        <v>45576</v>
      </c>
      <c r="C127" s="12" t="s">
        <v>174</v>
      </c>
      <c r="D127" s="12" t="s">
        <v>175</v>
      </c>
      <c r="E127" s="12" t="s">
        <v>132</v>
      </c>
      <c r="F127" s="12" t="s">
        <v>133</v>
      </c>
      <c r="G127" s="12" t="s">
        <v>73</v>
      </c>
      <c r="H127" s="14">
        <v>3</v>
      </c>
      <c r="I127" s="14">
        <v>299.99</v>
      </c>
      <c r="J127" s="12" t="s">
        <v>53</v>
      </c>
      <c r="K127" s="12" t="s">
        <v>48</v>
      </c>
      <c r="L127" s="12" t="s">
        <v>63</v>
      </c>
      <c r="M127" s="13">
        <v>45174</v>
      </c>
      <c r="N127" s="14">
        <v>899.97</v>
      </c>
    </row>
    <row r="128" spans="1:14" ht="15" thickBot="1" x14ac:dyDescent="0.4">
      <c r="A128" s="12" t="s">
        <v>294</v>
      </c>
      <c r="B128" s="13">
        <v>45579</v>
      </c>
      <c r="C128" s="12" t="s">
        <v>110</v>
      </c>
      <c r="D128" s="12" t="s">
        <v>111</v>
      </c>
      <c r="E128" s="12" t="s">
        <v>88</v>
      </c>
      <c r="F128" s="12" t="s">
        <v>89</v>
      </c>
      <c r="G128" s="12" t="s">
        <v>46</v>
      </c>
      <c r="H128" s="14">
        <v>3</v>
      </c>
      <c r="I128" s="14">
        <v>899.99</v>
      </c>
      <c r="J128" s="12" t="s">
        <v>61</v>
      </c>
      <c r="K128" s="12" t="s">
        <v>77</v>
      </c>
      <c r="L128" s="12" t="s">
        <v>49</v>
      </c>
      <c r="M128" s="13">
        <v>45215</v>
      </c>
      <c r="N128" s="14">
        <v>2699.97</v>
      </c>
    </row>
    <row r="129" spans="1:14" ht="15" thickBot="1" x14ac:dyDescent="0.4">
      <c r="A129" s="12" t="s">
        <v>295</v>
      </c>
      <c r="B129" s="13">
        <v>45581</v>
      </c>
      <c r="C129" s="12" t="s">
        <v>123</v>
      </c>
      <c r="D129" s="12" t="s">
        <v>124</v>
      </c>
      <c r="E129" s="12" t="s">
        <v>107</v>
      </c>
      <c r="F129" s="12" t="s">
        <v>108</v>
      </c>
      <c r="G129" s="12" t="s">
        <v>46</v>
      </c>
      <c r="H129" s="14">
        <v>5</v>
      </c>
      <c r="I129" s="14">
        <v>699.99</v>
      </c>
      <c r="J129" s="12" t="s">
        <v>47</v>
      </c>
      <c r="K129" s="12" t="s">
        <v>90</v>
      </c>
      <c r="L129" s="12" t="s">
        <v>63</v>
      </c>
      <c r="M129" s="13">
        <v>45008</v>
      </c>
      <c r="N129" s="14">
        <v>3499.95</v>
      </c>
    </row>
    <row r="130" spans="1:14" ht="15" thickBot="1" x14ac:dyDescent="0.4">
      <c r="A130" s="12" t="s">
        <v>296</v>
      </c>
      <c r="B130" s="13">
        <v>45581</v>
      </c>
      <c r="C130" s="12" t="s">
        <v>198</v>
      </c>
      <c r="D130" s="12" t="s">
        <v>199</v>
      </c>
      <c r="E130" s="12" t="s">
        <v>107</v>
      </c>
      <c r="F130" s="12" t="s">
        <v>108</v>
      </c>
      <c r="G130" s="12" t="s">
        <v>46</v>
      </c>
      <c r="H130" s="14">
        <v>4</v>
      </c>
      <c r="I130" s="14">
        <v>699.99</v>
      </c>
      <c r="J130" s="12" t="s">
        <v>53</v>
      </c>
      <c r="K130" s="12" t="s">
        <v>48</v>
      </c>
      <c r="L130" s="12" t="s">
        <v>49</v>
      </c>
      <c r="M130" s="13">
        <v>45385</v>
      </c>
      <c r="N130" s="14">
        <v>2799.96</v>
      </c>
    </row>
    <row r="131" spans="1:14" ht="15" thickBot="1" x14ac:dyDescent="0.4">
      <c r="A131" s="12" t="s">
        <v>297</v>
      </c>
      <c r="B131" s="13">
        <v>45581</v>
      </c>
      <c r="C131" s="12" t="s">
        <v>177</v>
      </c>
      <c r="D131" s="12" t="s">
        <v>178</v>
      </c>
      <c r="E131" s="12" t="s">
        <v>88</v>
      </c>
      <c r="F131" s="12" t="s">
        <v>89</v>
      </c>
      <c r="G131" s="12" t="s">
        <v>46</v>
      </c>
      <c r="H131" s="14">
        <v>1</v>
      </c>
      <c r="I131" s="14">
        <v>899.99</v>
      </c>
      <c r="J131" s="12" t="s">
        <v>53</v>
      </c>
      <c r="K131" s="12" t="s">
        <v>90</v>
      </c>
      <c r="L131" s="12" t="s">
        <v>63</v>
      </c>
      <c r="M131" s="13">
        <v>45369</v>
      </c>
      <c r="N131" s="14">
        <v>899.99</v>
      </c>
    </row>
    <row r="132" spans="1:14" ht="15" thickBot="1" x14ac:dyDescent="0.4">
      <c r="A132" s="12" t="s">
        <v>298</v>
      </c>
      <c r="B132" s="13">
        <v>45583</v>
      </c>
      <c r="C132" s="12" t="s">
        <v>253</v>
      </c>
      <c r="D132" s="12" t="s">
        <v>254</v>
      </c>
      <c r="E132" s="12" t="s">
        <v>79</v>
      </c>
      <c r="F132" s="12" t="s">
        <v>80</v>
      </c>
      <c r="G132" s="12" t="s">
        <v>46</v>
      </c>
      <c r="H132" s="14">
        <v>2</v>
      </c>
      <c r="I132" s="14">
        <v>149.99</v>
      </c>
      <c r="J132" s="12" t="s">
        <v>53</v>
      </c>
      <c r="K132" s="12" t="s">
        <v>77</v>
      </c>
      <c r="L132" s="12" t="s">
        <v>49</v>
      </c>
      <c r="M132" s="13">
        <v>44916</v>
      </c>
      <c r="N132" s="14">
        <v>299.98</v>
      </c>
    </row>
    <row r="133" spans="1:14" ht="15" thickBot="1" x14ac:dyDescent="0.4">
      <c r="A133" s="12" t="s">
        <v>299</v>
      </c>
      <c r="B133" s="13">
        <v>45586</v>
      </c>
      <c r="C133" s="12" t="s">
        <v>253</v>
      </c>
      <c r="D133" s="12" t="s">
        <v>254</v>
      </c>
      <c r="E133" s="12" t="s">
        <v>144</v>
      </c>
      <c r="F133" s="12" t="s">
        <v>145</v>
      </c>
      <c r="G133" s="12" t="s">
        <v>46</v>
      </c>
      <c r="H133" s="14">
        <v>3</v>
      </c>
      <c r="I133" s="14">
        <v>89.99</v>
      </c>
      <c r="J133" s="12" t="s">
        <v>61</v>
      </c>
      <c r="K133" s="12" t="s">
        <v>48</v>
      </c>
      <c r="L133" s="12" t="s">
        <v>49</v>
      </c>
      <c r="M133" s="13">
        <v>44551</v>
      </c>
      <c r="N133" s="14">
        <v>269.97000000000003</v>
      </c>
    </row>
    <row r="134" spans="1:14" ht="15" thickBot="1" x14ac:dyDescent="0.4">
      <c r="A134" s="12" t="s">
        <v>300</v>
      </c>
      <c r="B134" s="13">
        <v>45588</v>
      </c>
      <c r="C134" s="12" t="s">
        <v>65</v>
      </c>
      <c r="D134" s="12" t="s">
        <v>66</v>
      </c>
      <c r="E134" s="12" t="s">
        <v>79</v>
      </c>
      <c r="F134" s="12" t="s">
        <v>80</v>
      </c>
      <c r="G134" s="12" t="s">
        <v>46</v>
      </c>
      <c r="H134" s="14">
        <v>2</v>
      </c>
      <c r="I134" s="14">
        <v>149.99</v>
      </c>
      <c r="J134" s="12" t="s">
        <v>61</v>
      </c>
      <c r="K134" s="12" t="s">
        <v>48</v>
      </c>
      <c r="L134" s="12" t="s">
        <v>49</v>
      </c>
      <c r="M134" s="13">
        <v>44473</v>
      </c>
      <c r="N134" s="14">
        <v>299.98</v>
      </c>
    </row>
    <row r="135" spans="1:14" ht="15" thickBot="1" x14ac:dyDescent="0.4">
      <c r="A135" s="12" t="s">
        <v>301</v>
      </c>
      <c r="B135" s="13">
        <v>45588</v>
      </c>
      <c r="C135" s="12" t="s">
        <v>181</v>
      </c>
      <c r="D135" s="12" t="s">
        <v>182</v>
      </c>
      <c r="E135" s="12" t="s">
        <v>107</v>
      </c>
      <c r="F135" s="12" t="s">
        <v>108</v>
      </c>
      <c r="G135" s="12" t="s">
        <v>46</v>
      </c>
      <c r="H135" s="14">
        <v>2</v>
      </c>
      <c r="I135" s="14">
        <v>699.99</v>
      </c>
      <c r="J135" s="12" t="s">
        <v>47</v>
      </c>
      <c r="K135" s="12" t="s">
        <v>48</v>
      </c>
      <c r="L135" s="12" t="s">
        <v>49</v>
      </c>
      <c r="M135" s="13">
        <v>44992</v>
      </c>
      <c r="N135" s="14">
        <v>1399.98</v>
      </c>
    </row>
    <row r="136" spans="1:14" ht="15" thickBot="1" x14ac:dyDescent="0.4">
      <c r="A136" s="12" t="s">
        <v>302</v>
      </c>
      <c r="B136" s="13">
        <v>45589</v>
      </c>
      <c r="C136" s="12" t="s">
        <v>185</v>
      </c>
      <c r="D136" s="12" t="s">
        <v>186</v>
      </c>
      <c r="E136" s="12" t="s">
        <v>107</v>
      </c>
      <c r="F136" s="12" t="s">
        <v>108</v>
      </c>
      <c r="G136" s="12" t="s">
        <v>46</v>
      </c>
      <c r="H136" s="14">
        <v>5</v>
      </c>
      <c r="I136" s="14">
        <v>699.99</v>
      </c>
      <c r="J136" s="12" t="s">
        <v>47</v>
      </c>
      <c r="K136" s="12" t="s">
        <v>67</v>
      </c>
      <c r="L136" s="12" t="s">
        <v>54</v>
      </c>
      <c r="M136" s="13">
        <v>44635</v>
      </c>
      <c r="N136" s="14">
        <v>3499.95</v>
      </c>
    </row>
    <row r="137" spans="1:14" ht="15" thickBot="1" x14ac:dyDescent="0.4">
      <c r="A137" s="12" t="s">
        <v>303</v>
      </c>
      <c r="B137" s="13">
        <v>45592</v>
      </c>
      <c r="C137" s="12" t="s">
        <v>198</v>
      </c>
      <c r="D137" s="12" t="s">
        <v>199</v>
      </c>
      <c r="E137" s="12" t="s">
        <v>144</v>
      </c>
      <c r="F137" s="12" t="s">
        <v>145</v>
      </c>
      <c r="G137" s="12" t="s">
        <v>46</v>
      </c>
      <c r="H137" s="14">
        <v>3</v>
      </c>
      <c r="I137" s="14">
        <v>89.99</v>
      </c>
      <c r="J137" s="12" t="s">
        <v>53</v>
      </c>
      <c r="K137" s="12" t="s">
        <v>67</v>
      </c>
      <c r="L137" s="12" t="s">
        <v>63</v>
      </c>
      <c r="M137" s="13">
        <v>44615</v>
      </c>
      <c r="N137" s="14">
        <v>269.97000000000003</v>
      </c>
    </row>
    <row r="138" spans="1:14" ht="15" thickBot="1" x14ac:dyDescent="0.4">
      <c r="A138" s="12" t="s">
        <v>304</v>
      </c>
      <c r="B138" s="13">
        <v>45597</v>
      </c>
      <c r="C138" s="12" t="s">
        <v>42</v>
      </c>
      <c r="D138" s="12" t="s">
        <v>43</v>
      </c>
      <c r="E138" s="12" t="s">
        <v>44</v>
      </c>
      <c r="F138" s="12" t="s">
        <v>45</v>
      </c>
      <c r="G138" s="12" t="s">
        <v>46</v>
      </c>
      <c r="H138" s="14">
        <v>5</v>
      </c>
      <c r="I138" s="14">
        <v>249.99</v>
      </c>
      <c r="J138" s="12" t="s">
        <v>53</v>
      </c>
      <c r="K138" s="12" t="s">
        <v>62</v>
      </c>
      <c r="L138" s="12" t="s">
        <v>63</v>
      </c>
      <c r="M138" s="13">
        <v>44881</v>
      </c>
      <c r="N138" s="14">
        <v>1249.95</v>
      </c>
    </row>
    <row r="139" spans="1:14" ht="15" thickBot="1" x14ac:dyDescent="0.4">
      <c r="A139" s="12" t="s">
        <v>305</v>
      </c>
      <c r="B139" s="13">
        <v>45600</v>
      </c>
      <c r="C139" s="12" t="s">
        <v>92</v>
      </c>
      <c r="D139" s="12" t="s">
        <v>93</v>
      </c>
      <c r="E139" s="12" t="s">
        <v>132</v>
      </c>
      <c r="F139" s="12" t="s">
        <v>133</v>
      </c>
      <c r="G139" s="12" t="s">
        <v>73</v>
      </c>
      <c r="H139" s="14">
        <v>3</v>
      </c>
      <c r="I139" s="14">
        <v>299.99</v>
      </c>
      <c r="J139" s="12" t="s">
        <v>53</v>
      </c>
      <c r="K139" s="12" t="s">
        <v>62</v>
      </c>
      <c r="L139" s="12" t="s">
        <v>63</v>
      </c>
      <c r="M139" s="13">
        <v>44502</v>
      </c>
      <c r="N139" s="14">
        <v>899.97</v>
      </c>
    </row>
    <row r="140" spans="1:14" ht="15" thickBot="1" x14ac:dyDescent="0.4">
      <c r="A140" s="12" t="s">
        <v>306</v>
      </c>
      <c r="B140" s="13">
        <v>45603</v>
      </c>
      <c r="C140" s="12" t="s">
        <v>126</v>
      </c>
      <c r="D140" s="12" t="s">
        <v>127</v>
      </c>
      <c r="E140" s="12" t="s">
        <v>144</v>
      </c>
      <c r="F140" s="12" t="s">
        <v>145</v>
      </c>
      <c r="G140" s="12" t="s">
        <v>46</v>
      </c>
      <c r="H140" s="14">
        <v>3</v>
      </c>
      <c r="I140" s="14">
        <v>89.99</v>
      </c>
      <c r="J140" s="12" t="s">
        <v>53</v>
      </c>
      <c r="K140" s="12" t="s">
        <v>67</v>
      </c>
      <c r="L140" s="12" t="s">
        <v>54</v>
      </c>
      <c r="M140" s="13">
        <v>44420</v>
      </c>
      <c r="N140" s="14">
        <v>269.97000000000003</v>
      </c>
    </row>
    <row r="141" spans="1:14" ht="15" thickBot="1" x14ac:dyDescent="0.4">
      <c r="A141" s="12" t="s">
        <v>307</v>
      </c>
      <c r="B141" s="13">
        <v>45604</v>
      </c>
      <c r="C141" s="12" t="s">
        <v>116</v>
      </c>
      <c r="D141" s="12" t="s">
        <v>117</v>
      </c>
      <c r="E141" s="12" t="s">
        <v>71</v>
      </c>
      <c r="F141" s="12" t="s">
        <v>72</v>
      </c>
      <c r="G141" s="12" t="s">
        <v>73</v>
      </c>
      <c r="H141" s="14">
        <v>2</v>
      </c>
      <c r="I141" s="14">
        <v>149.99</v>
      </c>
      <c r="J141" s="12" t="s">
        <v>53</v>
      </c>
      <c r="K141" s="12" t="s">
        <v>77</v>
      </c>
      <c r="L141" s="12" t="s">
        <v>54</v>
      </c>
      <c r="M141" s="13">
        <v>44848</v>
      </c>
      <c r="N141" s="14">
        <v>299.98</v>
      </c>
    </row>
    <row r="142" spans="1:14" ht="15" thickBot="1" x14ac:dyDescent="0.4">
      <c r="A142" s="12" t="s">
        <v>308</v>
      </c>
      <c r="B142" s="13">
        <v>45605</v>
      </c>
      <c r="C142" s="12" t="s">
        <v>212</v>
      </c>
      <c r="D142" s="12" t="s">
        <v>213</v>
      </c>
      <c r="E142" s="12" t="s">
        <v>44</v>
      </c>
      <c r="F142" s="12" t="s">
        <v>45</v>
      </c>
      <c r="G142" s="12" t="s">
        <v>46</v>
      </c>
      <c r="H142" s="14">
        <v>1</v>
      </c>
      <c r="I142" s="14">
        <v>249.99</v>
      </c>
      <c r="J142" s="12" t="s">
        <v>53</v>
      </c>
      <c r="K142" s="12" t="s">
        <v>67</v>
      </c>
      <c r="L142" s="12" t="s">
        <v>54</v>
      </c>
      <c r="M142" s="13">
        <v>44828</v>
      </c>
      <c r="N142" s="14">
        <v>249.99</v>
      </c>
    </row>
    <row r="143" spans="1:14" ht="15" thickBot="1" x14ac:dyDescent="0.4">
      <c r="A143" s="12" t="s">
        <v>309</v>
      </c>
      <c r="B143" s="13">
        <v>45607</v>
      </c>
      <c r="C143" s="12" t="s">
        <v>99</v>
      </c>
      <c r="D143" s="12" t="s">
        <v>100</v>
      </c>
      <c r="E143" s="12" t="s">
        <v>79</v>
      </c>
      <c r="F143" s="12" t="s">
        <v>80</v>
      </c>
      <c r="G143" s="12" t="s">
        <v>46</v>
      </c>
      <c r="H143" s="14">
        <v>3</v>
      </c>
      <c r="I143" s="14">
        <v>149.99</v>
      </c>
      <c r="J143" s="12" t="s">
        <v>47</v>
      </c>
      <c r="K143" s="12" t="s">
        <v>67</v>
      </c>
      <c r="L143" s="12" t="s">
        <v>49</v>
      </c>
      <c r="M143" s="13">
        <v>44769</v>
      </c>
      <c r="N143" s="14">
        <v>449.97</v>
      </c>
    </row>
    <row r="144" spans="1:14" ht="15" thickBot="1" x14ac:dyDescent="0.4">
      <c r="A144" s="12" t="s">
        <v>310</v>
      </c>
      <c r="B144" s="13">
        <v>45607</v>
      </c>
      <c r="C144" s="12" t="s">
        <v>42</v>
      </c>
      <c r="D144" s="12" t="s">
        <v>43</v>
      </c>
      <c r="E144" s="12" t="s">
        <v>58</v>
      </c>
      <c r="F144" s="12" t="s">
        <v>59</v>
      </c>
      <c r="G144" s="12" t="s">
        <v>60</v>
      </c>
      <c r="H144" s="14">
        <v>5</v>
      </c>
      <c r="I144" s="14">
        <v>59.99</v>
      </c>
      <c r="J144" s="12" t="s">
        <v>61</v>
      </c>
      <c r="K144" s="12" t="s">
        <v>77</v>
      </c>
      <c r="L144" s="12" t="s">
        <v>54</v>
      </c>
      <c r="M144" s="13">
        <v>44694</v>
      </c>
      <c r="N144" s="14">
        <v>299.95</v>
      </c>
    </row>
    <row r="145" spans="1:14" ht="15" thickBot="1" x14ac:dyDescent="0.4">
      <c r="A145" s="12" t="s">
        <v>311</v>
      </c>
      <c r="B145" s="13">
        <v>45607</v>
      </c>
      <c r="C145" s="12" t="s">
        <v>126</v>
      </c>
      <c r="D145" s="12" t="s">
        <v>127</v>
      </c>
      <c r="E145" s="12" t="s">
        <v>44</v>
      </c>
      <c r="F145" s="12" t="s">
        <v>45</v>
      </c>
      <c r="G145" s="12" t="s">
        <v>46</v>
      </c>
      <c r="H145" s="14">
        <v>4</v>
      </c>
      <c r="I145" s="14">
        <v>249.99</v>
      </c>
      <c r="J145" s="12" t="s">
        <v>53</v>
      </c>
      <c r="K145" s="12" t="s">
        <v>77</v>
      </c>
      <c r="L145" s="12" t="s">
        <v>63</v>
      </c>
      <c r="M145" s="13">
        <v>44659</v>
      </c>
      <c r="N145" s="14">
        <v>999.96</v>
      </c>
    </row>
    <row r="146" spans="1:14" ht="15" thickBot="1" x14ac:dyDescent="0.4">
      <c r="A146" s="12" t="s">
        <v>312</v>
      </c>
      <c r="B146" s="13">
        <v>45608</v>
      </c>
      <c r="C146" s="12" t="s">
        <v>181</v>
      </c>
      <c r="D146" s="12" t="s">
        <v>182</v>
      </c>
      <c r="E146" s="12" t="s">
        <v>71</v>
      </c>
      <c r="F146" s="12" t="s">
        <v>72</v>
      </c>
      <c r="G146" s="12" t="s">
        <v>73</v>
      </c>
      <c r="H146" s="14">
        <v>5</v>
      </c>
      <c r="I146" s="14">
        <v>149.99</v>
      </c>
      <c r="J146" s="12" t="s">
        <v>61</v>
      </c>
      <c r="K146" s="12" t="s">
        <v>48</v>
      </c>
      <c r="L146" s="12" t="s">
        <v>49</v>
      </c>
      <c r="M146" s="13">
        <v>44901</v>
      </c>
      <c r="N146" s="14">
        <v>749.95</v>
      </c>
    </row>
    <row r="147" spans="1:14" ht="15" thickBot="1" x14ac:dyDescent="0.4">
      <c r="A147" s="12" t="s">
        <v>313</v>
      </c>
      <c r="B147" s="13">
        <v>45608</v>
      </c>
      <c r="C147" s="12" t="s">
        <v>110</v>
      </c>
      <c r="D147" s="12" t="s">
        <v>111</v>
      </c>
      <c r="E147" s="12" t="s">
        <v>58</v>
      </c>
      <c r="F147" s="12" t="s">
        <v>59</v>
      </c>
      <c r="G147" s="12" t="s">
        <v>60</v>
      </c>
      <c r="H147" s="14">
        <v>3</v>
      </c>
      <c r="I147" s="14">
        <v>59.99</v>
      </c>
      <c r="J147" s="12" t="s">
        <v>84</v>
      </c>
      <c r="K147" s="12" t="s">
        <v>62</v>
      </c>
      <c r="L147" s="12" t="s">
        <v>63</v>
      </c>
      <c r="M147" s="13">
        <v>45260</v>
      </c>
      <c r="N147" s="14">
        <v>179.97</v>
      </c>
    </row>
    <row r="148" spans="1:14" ht="15" thickBot="1" x14ac:dyDescent="0.4">
      <c r="A148" s="12" t="s">
        <v>314</v>
      </c>
      <c r="B148" s="13">
        <v>45613</v>
      </c>
      <c r="C148" s="12" t="s">
        <v>261</v>
      </c>
      <c r="D148" s="12" t="s">
        <v>262</v>
      </c>
      <c r="E148" s="12" t="s">
        <v>71</v>
      </c>
      <c r="F148" s="12" t="s">
        <v>72</v>
      </c>
      <c r="G148" s="12" t="s">
        <v>73</v>
      </c>
      <c r="H148" s="14">
        <v>5</v>
      </c>
      <c r="I148" s="14">
        <v>149.99</v>
      </c>
      <c r="J148" s="12" t="s">
        <v>47</v>
      </c>
      <c r="K148" s="12" t="s">
        <v>67</v>
      </c>
      <c r="L148" s="12" t="s">
        <v>49</v>
      </c>
      <c r="M148" s="13">
        <v>44869</v>
      </c>
      <c r="N148" s="14">
        <v>749.95</v>
      </c>
    </row>
    <row r="149" spans="1:14" ht="15" thickBot="1" x14ac:dyDescent="0.4">
      <c r="A149" s="12" t="s">
        <v>315</v>
      </c>
      <c r="B149" s="13">
        <v>45613</v>
      </c>
      <c r="C149" s="12" t="s">
        <v>113</v>
      </c>
      <c r="D149" s="12" t="s">
        <v>114</v>
      </c>
      <c r="E149" s="12" t="s">
        <v>107</v>
      </c>
      <c r="F149" s="12" t="s">
        <v>108</v>
      </c>
      <c r="G149" s="12" t="s">
        <v>46</v>
      </c>
      <c r="H149" s="14">
        <v>2</v>
      </c>
      <c r="I149" s="14">
        <v>699.99</v>
      </c>
      <c r="J149" s="12" t="s">
        <v>61</v>
      </c>
      <c r="K149" s="12" t="s">
        <v>77</v>
      </c>
      <c r="L149" s="12" t="s">
        <v>63</v>
      </c>
      <c r="M149" s="13">
        <v>44770</v>
      </c>
      <c r="N149" s="14">
        <v>1399.98</v>
      </c>
    </row>
    <row r="150" spans="1:14" ht="15" thickBot="1" x14ac:dyDescent="0.4">
      <c r="A150" s="12" t="s">
        <v>316</v>
      </c>
      <c r="B150" s="13">
        <v>45617</v>
      </c>
      <c r="C150" s="12" t="s">
        <v>150</v>
      </c>
      <c r="D150" s="12" t="s">
        <v>151</v>
      </c>
      <c r="E150" s="12" t="s">
        <v>153</v>
      </c>
      <c r="F150" s="12" t="s">
        <v>154</v>
      </c>
      <c r="G150" s="12" t="s">
        <v>73</v>
      </c>
      <c r="H150" s="14">
        <v>4</v>
      </c>
      <c r="I150" s="14">
        <v>199.99</v>
      </c>
      <c r="J150" s="12" t="s">
        <v>84</v>
      </c>
      <c r="K150" s="12" t="s">
        <v>48</v>
      </c>
      <c r="L150" s="12" t="s">
        <v>54</v>
      </c>
      <c r="M150" s="13">
        <v>44427</v>
      </c>
      <c r="N150" s="14">
        <v>799.96</v>
      </c>
    </row>
    <row r="151" spans="1:14" ht="15" thickBot="1" x14ac:dyDescent="0.4">
      <c r="A151" s="12" t="s">
        <v>317</v>
      </c>
      <c r="B151" s="13">
        <v>45619</v>
      </c>
      <c r="C151" s="12" t="s">
        <v>219</v>
      </c>
      <c r="D151" s="12" t="s">
        <v>220</v>
      </c>
      <c r="E151" s="12" t="s">
        <v>58</v>
      </c>
      <c r="F151" s="12" t="s">
        <v>59</v>
      </c>
      <c r="G151" s="12" t="s">
        <v>60</v>
      </c>
      <c r="H151" s="14">
        <v>1</v>
      </c>
      <c r="I151" s="14">
        <v>59.99</v>
      </c>
      <c r="J151" s="12" t="s">
        <v>84</v>
      </c>
      <c r="K151" s="12" t="s">
        <v>77</v>
      </c>
      <c r="L151" s="12" t="s">
        <v>63</v>
      </c>
      <c r="M151" s="13">
        <v>44560</v>
      </c>
      <c r="N151" s="14">
        <v>59.99</v>
      </c>
    </row>
    <row r="152" spans="1:14" ht="15" thickBot="1" x14ac:dyDescent="0.4">
      <c r="A152" s="12" t="s">
        <v>318</v>
      </c>
      <c r="B152" s="13">
        <v>45619</v>
      </c>
      <c r="C152" s="12" t="s">
        <v>181</v>
      </c>
      <c r="D152" s="12" t="s">
        <v>182</v>
      </c>
      <c r="E152" s="12" t="s">
        <v>107</v>
      </c>
      <c r="F152" s="12" t="s">
        <v>108</v>
      </c>
      <c r="G152" s="12" t="s">
        <v>46</v>
      </c>
      <c r="H152" s="14">
        <v>3</v>
      </c>
      <c r="I152" s="14">
        <v>699.99</v>
      </c>
      <c r="J152" s="12" t="s">
        <v>61</v>
      </c>
      <c r="K152" s="12" t="s">
        <v>77</v>
      </c>
      <c r="L152" s="12" t="s">
        <v>63</v>
      </c>
      <c r="M152" s="13">
        <v>44583</v>
      </c>
      <c r="N152" s="14">
        <v>2099.9699999999998</v>
      </c>
    </row>
    <row r="153" spans="1:14" ht="15" thickBot="1" x14ac:dyDescent="0.4">
      <c r="A153" s="12" t="s">
        <v>319</v>
      </c>
      <c r="B153" s="13">
        <v>45622</v>
      </c>
      <c r="C153" s="12" t="s">
        <v>320</v>
      </c>
      <c r="D153" s="12" t="s">
        <v>321</v>
      </c>
      <c r="E153" s="12" t="s">
        <v>44</v>
      </c>
      <c r="F153" s="12" t="s">
        <v>45</v>
      </c>
      <c r="G153" s="12" t="s">
        <v>46</v>
      </c>
      <c r="H153" s="14">
        <v>5</v>
      </c>
      <c r="I153" s="14">
        <v>249.99</v>
      </c>
      <c r="J153" s="12" t="s">
        <v>53</v>
      </c>
      <c r="K153" s="12" t="s">
        <v>67</v>
      </c>
      <c r="L153" s="12" t="s">
        <v>49</v>
      </c>
      <c r="M153" s="13">
        <v>44873</v>
      </c>
      <c r="N153" s="14">
        <v>1249.95</v>
      </c>
    </row>
    <row r="154" spans="1:14" ht="15" thickBot="1" x14ac:dyDescent="0.4">
      <c r="A154" s="12" t="s">
        <v>322</v>
      </c>
      <c r="B154" s="13">
        <v>45623</v>
      </c>
      <c r="C154" s="12" t="s">
        <v>139</v>
      </c>
      <c r="D154" s="12" t="s">
        <v>140</v>
      </c>
      <c r="E154" s="12" t="s">
        <v>71</v>
      </c>
      <c r="F154" s="12" t="s">
        <v>72</v>
      </c>
      <c r="G154" s="12" t="s">
        <v>73</v>
      </c>
      <c r="H154" s="14">
        <v>2</v>
      </c>
      <c r="I154" s="14">
        <v>149.99</v>
      </c>
      <c r="J154" s="12" t="s">
        <v>47</v>
      </c>
      <c r="K154" s="12" t="s">
        <v>62</v>
      </c>
      <c r="L154" s="12" t="s">
        <v>63</v>
      </c>
      <c r="M154" s="13">
        <v>45101</v>
      </c>
      <c r="N154" s="14">
        <v>299.98</v>
      </c>
    </row>
    <row r="155" spans="1:14" ht="15" thickBot="1" x14ac:dyDescent="0.4">
      <c r="A155" s="12" t="s">
        <v>323</v>
      </c>
      <c r="B155" s="13">
        <v>45627</v>
      </c>
      <c r="C155" s="12" t="s">
        <v>56</v>
      </c>
      <c r="D155" s="12" t="s">
        <v>57</v>
      </c>
      <c r="E155" s="12" t="s">
        <v>132</v>
      </c>
      <c r="F155" s="12" t="s">
        <v>133</v>
      </c>
      <c r="G155" s="12" t="s">
        <v>73</v>
      </c>
      <c r="H155" s="14">
        <v>3</v>
      </c>
      <c r="I155" s="14">
        <v>299.99</v>
      </c>
      <c r="J155" s="12" t="s">
        <v>47</v>
      </c>
      <c r="K155" s="12" t="s">
        <v>62</v>
      </c>
      <c r="L155" s="12" t="s">
        <v>54</v>
      </c>
      <c r="M155" s="13">
        <v>44659</v>
      </c>
      <c r="N155" s="14">
        <v>899.97</v>
      </c>
    </row>
    <row r="156" spans="1:14" ht="15" thickBot="1" x14ac:dyDescent="0.4">
      <c r="A156" s="12" t="s">
        <v>324</v>
      </c>
      <c r="B156" s="13">
        <v>45627</v>
      </c>
      <c r="C156" s="12" t="s">
        <v>82</v>
      </c>
      <c r="D156" s="12" t="s">
        <v>83</v>
      </c>
      <c r="E156" s="12" t="s">
        <v>44</v>
      </c>
      <c r="F156" s="12" t="s">
        <v>45</v>
      </c>
      <c r="G156" s="12" t="s">
        <v>46</v>
      </c>
      <c r="H156" s="14">
        <v>5</v>
      </c>
      <c r="I156" s="14">
        <v>249.99</v>
      </c>
      <c r="J156" s="12" t="s">
        <v>47</v>
      </c>
      <c r="K156" s="12" t="s">
        <v>48</v>
      </c>
      <c r="L156" s="12" t="s">
        <v>54</v>
      </c>
      <c r="M156" s="13">
        <v>44485</v>
      </c>
      <c r="N156" s="14">
        <v>1249.95</v>
      </c>
    </row>
    <row r="157" spans="1:14" ht="15" thickBot="1" x14ac:dyDescent="0.4">
      <c r="A157" s="12" t="s">
        <v>325</v>
      </c>
      <c r="B157" s="13">
        <v>45627</v>
      </c>
      <c r="C157" s="12" t="s">
        <v>51</v>
      </c>
      <c r="D157" s="12" t="s">
        <v>52</v>
      </c>
      <c r="E157" s="12" t="s">
        <v>79</v>
      </c>
      <c r="F157" s="12" t="s">
        <v>80</v>
      </c>
      <c r="G157" s="12" t="s">
        <v>46</v>
      </c>
      <c r="H157" s="14">
        <v>2</v>
      </c>
      <c r="I157" s="14">
        <v>149.99</v>
      </c>
      <c r="J157" s="12" t="s">
        <v>47</v>
      </c>
      <c r="K157" s="12" t="s">
        <v>62</v>
      </c>
      <c r="L157" s="12" t="s">
        <v>54</v>
      </c>
      <c r="M157" s="13">
        <v>44475</v>
      </c>
      <c r="N157" s="14">
        <v>299.98</v>
      </c>
    </row>
    <row r="158" spans="1:14" ht="15" thickBot="1" x14ac:dyDescent="0.4">
      <c r="A158" s="12" t="s">
        <v>326</v>
      </c>
      <c r="B158" s="13">
        <v>45627</v>
      </c>
      <c r="C158" s="12" t="s">
        <v>113</v>
      </c>
      <c r="D158" s="12" t="s">
        <v>114</v>
      </c>
      <c r="E158" s="12" t="s">
        <v>107</v>
      </c>
      <c r="F158" s="12" t="s">
        <v>108</v>
      </c>
      <c r="G158" s="12" t="s">
        <v>46</v>
      </c>
      <c r="H158" s="14">
        <v>5</v>
      </c>
      <c r="I158" s="14">
        <v>699.99</v>
      </c>
      <c r="J158" s="12" t="s">
        <v>84</v>
      </c>
      <c r="K158" s="12" t="s">
        <v>77</v>
      </c>
      <c r="L158" s="12" t="s">
        <v>63</v>
      </c>
      <c r="M158" s="13">
        <v>44944</v>
      </c>
      <c r="N158" s="14">
        <v>3499.95</v>
      </c>
    </row>
    <row r="159" spans="1:14" ht="15" thickBot="1" x14ac:dyDescent="0.4">
      <c r="A159" s="12" t="s">
        <v>327</v>
      </c>
      <c r="B159" s="13">
        <v>45629</v>
      </c>
      <c r="C159" s="12" t="s">
        <v>279</v>
      </c>
      <c r="D159" s="12" t="s">
        <v>280</v>
      </c>
      <c r="E159" s="12" t="s">
        <v>44</v>
      </c>
      <c r="F159" s="12" t="s">
        <v>45</v>
      </c>
      <c r="G159" s="12" t="s">
        <v>46</v>
      </c>
      <c r="H159" s="14">
        <v>4</v>
      </c>
      <c r="I159" s="14">
        <v>249.99</v>
      </c>
      <c r="J159" s="12" t="s">
        <v>61</v>
      </c>
      <c r="K159" s="12" t="s">
        <v>90</v>
      </c>
      <c r="L159" s="12" t="s">
        <v>54</v>
      </c>
      <c r="M159" s="13">
        <v>45098</v>
      </c>
      <c r="N159" s="14">
        <v>999.96</v>
      </c>
    </row>
    <row r="160" spans="1:14" ht="15" thickBot="1" x14ac:dyDescent="0.4">
      <c r="A160" s="12" t="s">
        <v>328</v>
      </c>
      <c r="B160" s="13">
        <v>45630</v>
      </c>
      <c r="C160" s="12" t="s">
        <v>75</v>
      </c>
      <c r="D160" s="12" t="s">
        <v>76</v>
      </c>
      <c r="E160" s="12" t="s">
        <v>107</v>
      </c>
      <c r="F160" s="12" t="s">
        <v>108</v>
      </c>
      <c r="G160" s="12" t="s">
        <v>46</v>
      </c>
      <c r="H160" s="14">
        <v>4</v>
      </c>
      <c r="I160" s="14">
        <v>699.99</v>
      </c>
      <c r="J160" s="12" t="s">
        <v>53</v>
      </c>
      <c r="K160" s="12" t="s">
        <v>67</v>
      </c>
      <c r="L160" s="12" t="s">
        <v>54</v>
      </c>
      <c r="M160" s="13">
        <v>44703</v>
      </c>
      <c r="N160" s="14">
        <v>2799.96</v>
      </c>
    </row>
    <row r="161" spans="1:14" ht="15" thickBot="1" x14ac:dyDescent="0.4">
      <c r="A161" s="12" t="s">
        <v>329</v>
      </c>
      <c r="B161" s="13">
        <v>45635</v>
      </c>
      <c r="C161" s="12" t="s">
        <v>135</v>
      </c>
      <c r="D161" s="12" t="s">
        <v>136</v>
      </c>
      <c r="E161" s="12" t="s">
        <v>44</v>
      </c>
      <c r="F161" s="12" t="s">
        <v>45</v>
      </c>
      <c r="G161" s="12" t="s">
        <v>46</v>
      </c>
      <c r="H161" s="14">
        <v>2</v>
      </c>
      <c r="I161" s="14">
        <v>249.99</v>
      </c>
      <c r="J161" s="12" t="s">
        <v>53</v>
      </c>
      <c r="K161" s="12" t="s">
        <v>48</v>
      </c>
      <c r="L161" s="12" t="s">
        <v>54</v>
      </c>
      <c r="M161" s="13">
        <v>44396</v>
      </c>
      <c r="N161" s="14">
        <v>499.98</v>
      </c>
    </row>
    <row r="162" spans="1:14" ht="15" thickBot="1" x14ac:dyDescent="0.4">
      <c r="A162" s="12" t="s">
        <v>330</v>
      </c>
      <c r="B162" s="13">
        <v>45635</v>
      </c>
      <c r="C162" s="12" t="s">
        <v>331</v>
      </c>
      <c r="D162" s="12" t="s">
        <v>332</v>
      </c>
      <c r="E162" s="12" t="s">
        <v>58</v>
      </c>
      <c r="F162" s="12" t="s">
        <v>59</v>
      </c>
      <c r="G162" s="12" t="s">
        <v>60</v>
      </c>
      <c r="H162" s="14">
        <v>3</v>
      </c>
      <c r="I162" s="14">
        <v>59.99</v>
      </c>
      <c r="J162" s="12" t="s">
        <v>47</v>
      </c>
      <c r="K162" s="12" t="s">
        <v>48</v>
      </c>
      <c r="L162" s="12" t="s">
        <v>54</v>
      </c>
      <c r="M162" s="13">
        <v>45052</v>
      </c>
      <c r="N162" s="14">
        <v>179.97</v>
      </c>
    </row>
    <row r="163" spans="1:14" ht="15" thickBot="1" x14ac:dyDescent="0.4">
      <c r="A163" s="12" t="s">
        <v>333</v>
      </c>
      <c r="B163" s="13">
        <v>45635</v>
      </c>
      <c r="C163" s="12" t="s">
        <v>168</v>
      </c>
      <c r="D163" s="12" t="s">
        <v>169</v>
      </c>
      <c r="E163" s="12" t="s">
        <v>141</v>
      </c>
      <c r="F163" s="12" t="s">
        <v>142</v>
      </c>
      <c r="G163" s="12" t="s">
        <v>60</v>
      </c>
      <c r="H163" s="14">
        <v>4</v>
      </c>
      <c r="I163" s="14">
        <v>79.989999999999995</v>
      </c>
      <c r="J163" s="12" t="s">
        <v>84</v>
      </c>
      <c r="K163" s="12" t="s">
        <v>90</v>
      </c>
      <c r="L163" s="12" t="s">
        <v>63</v>
      </c>
      <c r="M163" s="13">
        <v>44921</v>
      </c>
      <c r="N163" s="14">
        <v>319.95999999999998</v>
      </c>
    </row>
    <row r="164" spans="1:14" ht="15" thickBot="1" x14ac:dyDescent="0.4">
      <c r="A164" s="12" t="s">
        <v>334</v>
      </c>
      <c r="B164" s="13">
        <v>45636</v>
      </c>
      <c r="C164" s="12" t="s">
        <v>147</v>
      </c>
      <c r="D164" s="12" t="s">
        <v>148</v>
      </c>
      <c r="E164" s="12" t="s">
        <v>141</v>
      </c>
      <c r="F164" s="12" t="s">
        <v>142</v>
      </c>
      <c r="G164" s="12" t="s">
        <v>60</v>
      </c>
      <c r="H164" s="14">
        <v>3</v>
      </c>
      <c r="I164" s="14">
        <v>79.989999999999995</v>
      </c>
      <c r="J164" s="12" t="s">
        <v>84</v>
      </c>
      <c r="K164" s="12" t="s">
        <v>90</v>
      </c>
      <c r="L164" s="12" t="s">
        <v>63</v>
      </c>
      <c r="M164" s="13">
        <v>44779</v>
      </c>
      <c r="N164" s="14">
        <v>239.97</v>
      </c>
    </row>
    <row r="165" spans="1:14" ht="15" thickBot="1" x14ac:dyDescent="0.4">
      <c r="A165" s="12" t="s">
        <v>335</v>
      </c>
      <c r="B165" s="13">
        <v>45638</v>
      </c>
      <c r="C165" s="12" t="s">
        <v>99</v>
      </c>
      <c r="D165" s="12" t="s">
        <v>100</v>
      </c>
      <c r="E165" s="12" t="s">
        <v>88</v>
      </c>
      <c r="F165" s="12" t="s">
        <v>89</v>
      </c>
      <c r="G165" s="12" t="s">
        <v>46</v>
      </c>
      <c r="H165" s="14">
        <v>2</v>
      </c>
      <c r="I165" s="14">
        <v>899.99</v>
      </c>
      <c r="J165" s="12" t="s">
        <v>47</v>
      </c>
      <c r="K165" s="12" t="s">
        <v>67</v>
      </c>
      <c r="L165" s="12" t="s">
        <v>49</v>
      </c>
      <c r="M165" s="13">
        <v>44406</v>
      </c>
      <c r="N165" s="14">
        <v>1799.98</v>
      </c>
    </row>
    <row r="166" spans="1:14" ht="15" thickBot="1" x14ac:dyDescent="0.4">
      <c r="A166" s="12" t="s">
        <v>336</v>
      </c>
      <c r="B166" s="13">
        <v>45641</v>
      </c>
      <c r="C166" s="12" t="s">
        <v>209</v>
      </c>
      <c r="D166" s="12" t="s">
        <v>210</v>
      </c>
      <c r="E166" s="12" t="s">
        <v>71</v>
      </c>
      <c r="F166" s="12" t="s">
        <v>72</v>
      </c>
      <c r="G166" s="12" t="s">
        <v>73</v>
      </c>
      <c r="H166" s="14">
        <v>1</v>
      </c>
      <c r="I166" s="14">
        <v>149.99</v>
      </c>
      <c r="J166" s="12" t="s">
        <v>84</v>
      </c>
      <c r="K166" s="12" t="s">
        <v>90</v>
      </c>
      <c r="L166" s="12" t="s">
        <v>63</v>
      </c>
      <c r="M166" s="13">
        <v>45200</v>
      </c>
      <c r="N166" s="14">
        <v>149.99</v>
      </c>
    </row>
    <row r="167" spans="1:14" ht="15" thickBot="1" x14ac:dyDescent="0.4">
      <c r="A167" s="12" t="s">
        <v>337</v>
      </c>
      <c r="B167" s="13">
        <v>45641</v>
      </c>
      <c r="C167" s="12" t="s">
        <v>165</v>
      </c>
      <c r="D167" s="12" t="s">
        <v>166</v>
      </c>
      <c r="E167" s="12" t="s">
        <v>132</v>
      </c>
      <c r="F167" s="12" t="s">
        <v>133</v>
      </c>
      <c r="G167" s="12" t="s">
        <v>73</v>
      </c>
      <c r="H167" s="14">
        <v>2</v>
      </c>
      <c r="I167" s="14">
        <v>299.99</v>
      </c>
      <c r="J167" s="12" t="s">
        <v>47</v>
      </c>
      <c r="K167" s="12" t="s">
        <v>90</v>
      </c>
      <c r="L167" s="12" t="s">
        <v>54</v>
      </c>
      <c r="M167" s="13">
        <v>44724</v>
      </c>
      <c r="N167" s="14">
        <v>599.98</v>
      </c>
    </row>
    <row r="168" spans="1:14" ht="15" thickBot="1" x14ac:dyDescent="0.4">
      <c r="A168" s="12" t="s">
        <v>338</v>
      </c>
      <c r="B168" s="13">
        <v>45644</v>
      </c>
      <c r="C168" s="12" t="s">
        <v>159</v>
      </c>
      <c r="D168" s="12" t="s">
        <v>160</v>
      </c>
      <c r="E168" s="12" t="s">
        <v>58</v>
      </c>
      <c r="F168" s="12" t="s">
        <v>59</v>
      </c>
      <c r="G168" s="12" t="s">
        <v>60</v>
      </c>
      <c r="H168" s="14">
        <v>2</v>
      </c>
      <c r="I168" s="14">
        <v>59.99</v>
      </c>
      <c r="J168" s="12" t="s">
        <v>47</v>
      </c>
      <c r="K168" s="12" t="s">
        <v>77</v>
      </c>
      <c r="L168" s="12" t="s">
        <v>49</v>
      </c>
      <c r="M168" s="13">
        <v>45191</v>
      </c>
      <c r="N168" s="14">
        <v>119.98</v>
      </c>
    </row>
    <row r="169" spans="1:14" ht="15" thickBot="1" x14ac:dyDescent="0.4">
      <c r="A169" s="12" t="s">
        <v>339</v>
      </c>
      <c r="B169" s="13">
        <v>45645</v>
      </c>
      <c r="C169" s="12" t="s">
        <v>209</v>
      </c>
      <c r="D169" s="12" t="s">
        <v>210</v>
      </c>
      <c r="E169" s="12" t="s">
        <v>144</v>
      </c>
      <c r="F169" s="12" t="s">
        <v>145</v>
      </c>
      <c r="G169" s="12" t="s">
        <v>46</v>
      </c>
      <c r="H169" s="14">
        <v>1</v>
      </c>
      <c r="I169" s="14">
        <v>89.99</v>
      </c>
      <c r="J169" s="12" t="s">
        <v>84</v>
      </c>
      <c r="K169" s="12" t="s">
        <v>48</v>
      </c>
      <c r="L169" s="12" t="s">
        <v>63</v>
      </c>
      <c r="M169" s="13">
        <v>44760</v>
      </c>
      <c r="N169" s="14">
        <v>89.99</v>
      </c>
    </row>
    <row r="170" spans="1:14" ht="15" thickBot="1" x14ac:dyDescent="0.4">
      <c r="A170" s="12" t="s">
        <v>340</v>
      </c>
      <c r="B170" s="13">
        <v>45645</v>
      </c>
      <c r="C170" s="12" t="s">
        <v>174</v>
      </c>
      <c r="D170" s="12" t="s">
        <v>175</v>
      </c>
      <c r="E170" s="12" t="s">
        <v>88</v>
      </c>
      <c r="F170" s="12" t="s">
        <v>89</v>
      </c>
      <c r="G170" s="12" t="s">
        <v>46</v>
      </c>
      <c r="H170" s="14">
        <v>5</v>
      </c>
      <c r="I170" s="14">
        <v>899.99</v>
      </c>
      <c r="J170" s="12" t="s">
        <v>84</v>
      </c>
      <c r="K170" s="12" t="s">
        <v>90</v>
      </c>
      <c r="L170" s="12" t="s">
        <v>63</v>
      </c>
      <c r="M170" s="13">
        <v>44625</v>
      </c>
      <c r="N170" s="14">
        <v>4499.95</v>
      </c>
    </row>
    <row r="171" spans="1:14" ht="15" thickBot="1" x14ac:dyDescent="0.4">
      <c r="A171" s="12" t="s">
        <v>341</v>
      </c>
      <c r="B171" s="13">
        <v>45646</v>
      </c>
      <c r="C171" s="12" t="s">
        <v>69</v>
      </c>
      <c r="D171" s="12" t="s">
        <v>70</v>
      </c>
      <c r="E171" s="12" t="s">
        <v>71</v>
      </c>
      <c r="F171" s="12" t="s">
        <v>72</v>
      </c>
      <c r="G171" s="12" t="s">
        <v>73</v>
      </c>
      <c r="H171" s="14">
        <v>2</v>
      </c>
      <c r="I171" s="14">
        <v>149.99</v>
      </c>
      <c r="J171" s="12" t="s">
        <v>47</v>
      </c>
      <c r="K171" s="12" t="s">
        <v>62</v>
      </c>
      <c r="L171" s="12" t="s">
        <v>49</v>
      </c>
      <c r="M171" s="13">
        <v>45239</v>
      </c>
      <c r="N171" s="14">
        <v>299.98</v>
      </c>
    </row>
    <row r="172" spans="1:14" ht="15" thickBot="1" x14ac:dyDescent="0.4">
      <c r="A172" s="12" t="s">
        <v>342</v>
      </c>
      <c r="B172" s="13">
        <v>45648</v>
      </c>
      <c r="C172" s="12" t="s">
        <v>139</v>
      </c>
      <c r="D172" s="12" t="s">
        <v>140</v>
      </c>
      <c r="E172" s="12" t="s">
        <v>79</v>
      </c>
      <c r="F172" s="12" t="s">
        <v>80</v>
      </c>
      <c r="G172" s="12" t="s">
        <v>46</v>
      </c>
      <c r="H172" s="14">
        <v>2</v>
      </c>
      <c r="I172" s="14">
        <v>149.99</v>
      </c>
      <c r="J172" s="12" t="s">
        <v>84</v>
      </c>
      <c r="K172" s="12" t="s">
        <v>77</v>
      </c>
      <c r="L172" s="12" t="s">
        <v>54</v>
      </c>
      <c r="M172" s="13">
        <v>45280</v>
      </c>
      <c r="N172" s="14">
        <v>299.98</v>
      </c>
    </row>
    <row r="173" spans="1:14" ht="15" thickBot="1" x14ac:dyDescent="0.4">
      <c r="A173" s="12" t="s">
        <v>343</v>
      </c>
      <c r="B173" s="13">
        <v>45648</v>
      </c>
      <c r="C173" s="12" t="s">
        <v>209</v>
      </c>
      <c r="D173" s="12" t="s">
        <v>210</v>
      </c>
      <c r="E173" s="12" t="s">
        <v>71</v>
      </c>
      <c r="F173" s="12" t="s">
        <v>72</v>
      </c>
      <c r="G173" s="12" t="s">
        <v>73</v>
      </c>
      <c r="H173" s="14">
        <v>3</v>
      </c>
      <c r="I173" s="14">
        <v>149.99</v>
      </c>
      <c r="J173" s="12" t="s">
        <v>84</v>
      </c>
      <c r="K173" s="12" t="s">
        <v>67</v>
      </c>
      <c r="L173" s="12" t="s">
        <v>63</v>
      </c>
      <c r="M173" s="13">
        <v>44522</v>
      </c>
      <c r="N173" s="14">
        <v>449.97</v>
      </c>
    </row>
    <row r="174" spans="1:14" ht="15" thickBot="1" x14ac:dyDescent="0.4">
      <c r="A174" s="12" t="s">
        <v>344</v>
      </c>
      <c r="B174" s="13">
        <v>45649</v>
      </c>
      <c r="C174" s="12" t="s">
        <v>56</v>
      </c>
      <c r="D174" s="12" t="s">
        <v>57</v>
      </c>
      <c r="E174" s="12" t="s">
        <v>132</v>
      </c>
      <c r="F174" s="12" t="s">
        <v>133</v>
      </c>
      <c r="G174" s="12" t="s">
        <v>73</v>
      </c>
      <c r="H174" s="14">
        <v>2</v>
      </c>
      <c r="I174" s="14">
        <v>299.99</v>
      </c>
      <c r="J174" s="12" t="s">
        <v>61</v>
      </c>
      <c r="K174" s="12" t="s">
        <v>62</v>
      </c>
      <c r="L174" s="12" t="s">
        <v>49</v>
      </c>
      <c r="M174" s="13">
        <v>44721</v>
      </c>
      <c r="N174" s="14">
        <v>599.98</v>
      </c>
    </row>
    <row r="175" spans="1:14" ht="15" thickBot="1" x14ac:dyDescent="0.4">
      <c r="A175" s="12" t="s">
        <v>345</v>
      </c>
      <c r="B175" s="13">
        <v>45654</v>
      </c>
      <c r="C175" s="12" t="s">
        <v>69</v>
      </c>
      <c r="D175" s="12" t="s">
        <v>70</v>
      </c>
      <c r="E175" s="12" t="s">
        <v>132</v>
      </c>
      <c r="F175" s="12" t="s">
        <v>133</v>
      </c>
      <c r="G175" s="12" t="s">
        <v>73</v>
      </c>
      <c r="H175" s="14">
        <v>2</v>
      </c>
      <c r="I175" s="14">
        <v>299.99</v>
      </c>
      <c r="J175" s="12" t="s">
        <v>47</v>
      </c>
      <c r="K175" s="12" t="s">
        <v>77</v>
      </c>
      <c r="L175" s="12" t="s">
        <v>49</v>
      </c>
      <c r="M175" s="13">
        <v>44771</v>
      </c>
      <c r="N175" s="14">
        <v>599.98</v>
      </c>
    </row>
    <row r="176" spans="1:14" ht="15" thickBot="1" x14ac:dyDescent="0.4">
      <c r="A176" s="12" t="s">
        <v>346</v>
      </c>
      <c r="B176" s="13">
        <v>45654</v>
      </c>
      <c r="C176" s="12" t="s">
        <v>147</v>
      </c>
      <c r="D176" s="12" t="s">
        <v>148</v>
      </c>
      <c r="E176" s="12" t="s">
        <v>153</v>
      </c>
      <c r="F176" s="12" t="s">
        <v>154</v>
      </c>
      <c r="G176" s="12" t="s">
        <v>73</v>
      </c>
      <c r="H176" s="14">
        <v>4</v>
      </c>
      <c r="I176" s="14">
        <v>199.99</v>
      </c>
      <c r="J176" s="12" t="s">
        <v>53</v>
      </c>
      <c r="K176" s="12" t="s">
        <v>48</v>
      </c>
      <c r="L176" s="12" t="s">
        <v>49</v>
      </c>
      <c r="M176" s="13">
        <v>44523</v>
      </c>
      <c r="N176" s="14">
        <v>799.96</v>
      </c>
    </row>
    <row r="177" spans="1:14" ht="15" thickBot="1" x14ac:dyDescent="0.4">
      <c r="A177" s="12" t="s">
        <v>347</v>
      </c>
      <c r="B177" s="13">
        <v>45655</v>
      </c>
      <c r="C177" s="12" t="s">
        <v>86</v>
      </c>
      <c r="D177" s="12" t="s">
        <v>87</v>
      </c>
      <c r="E177" s="12" t="s">
        <v>144</v>
      </c>
      <c r="F177" s="12" t="s">
        <v>145</v>
      </c>
      <c r="G177" s="12" t="s">
        <v>46</v>
      </c>
      <c r="H177" s="14">
        <v>1</v>
      </c>
      <c r="I177" s="14">
        <v>89.99</v>
      </c>
      <c r="J177" s="12" t="s">
        <v>53</v>
      </c>
      <c r="K177" s="12" t="s">
        <v>62</v>
      </c>
      <c r="L177" s="12" t="s">
        <v>54</v>
      </c>
      <c r="M177" s="13">
        <v>44591</v>
      </c>
      <c r="N177" s="14">
        <v>89.99</v>
      </c>
    </row>
    <row r="178" spans="1:14" ht="15" thickBot="1" x14ac:dyDescent="0.4">
      <c r="A178" s="12" t="s">
        <v>348</v>
      </c>
      <c r="B178" s="13">
        <v>45655</v>
      </c>
      <c r="C178" s="12" t="s">
        <v>135</v>
      </c>
      <c r="D178" s="12" t="s">
        <v>136</v>
      </c>
      <c r="E178" s="12" t="s">
        <v>71</v>
      </c>
      <c r="F178" s="12" t="s">
        <v>72</v>
      </c>
      <c r="G178" s="12" t="s">
        <v>73</v>
      </c>
      <c r="H178" s="14">
        <v>5</v>
      </c>
      <c r="I178" s="14">
        <v>149.99</v>
      </c>
      <c r="J178" s="12" t="s">
        <v>47</v>
      </c>
      <c r="K178" s="12" t="s">
        <v>48</v>
      </c>
      <c r="L178" s="12" t="s">
        <v>54</v>
      </c>
      <c r="M178" s="13">
        <v>45347</v>
      </c>
      <c r="N178" s="14">
        <v>749.95</v>
      </c>
    </row>
    <row r="179" spans="1:14" ht="15" thickBot="1" x14ac:dyDescent="0.4">
      <c r="A179" s="12" t="s">
        <v>349</v>
      </c>
      <c r="B179" s="13">
        <v>45657</v>
      </c>
      <c r="C179" s="12" t="s">
        <v>113</v>
      </c>
      <c r="D179" s="12" t="s">
        <v>114</v>
      </c>
      <c r="E179" s="12" t="s">
        <v>88</v>
      </c>
      <c r="F179" s="12" t="s">
        <v>89</v>
      </c>
      <c r="G179" s="12" t="s">
        <v>46</v>
      </c>
      <c r="H179" s="14">
        <v>1</v>
      </c>
      <c r="I179" s="14">
        <v>899.99</v>
      </c>
      <c r="J179" s="12" t="s">
        <v>61</v>
      </c>
      <c r="K179" s="12" t="s">
        <v>67</v>
      </c>
      <c r="L179" s="12" t="s">
        <v>54</v>
      </c>
      <c r="M179" s="13">
        <v>45050</v>
      </c>
      <c r="N179" s="14">
        <v>899.99</v>
      </c>
    </row>
    <row r="180" spans="1:14" ht="15" thickBot="1" x14ac:dyDescent="0.4">
      <c r="A180" s="12" t="s">
        <v>350</v>
      </c>
      <c r="B180" s="13">
        <v>45660</v>
      </c>
      <c r="C180" s="12" t="s">
        <v>174</v>
      </c>
      <c r="D180" s="12" t="s">
        <v>175</v>
      </c>
      <c r="E180" s="12" t="s">
        <v>144</v>
      </c>
      <c r="F180" s="12" t="s">
        <v>145</v>
      </c>
      <c r="G180" s="12" t="s">
        <v>46</v>
      </c>
      <c r="H180" s="14">
        <v>2</v>
      </c>
      <c r="I180" s="14">
        <v>89.99</v>
      </c>
      <c r="J180" s="12" t="s">
        <v>53</v>
      </c>
      <c r="K180" s="12" t="s">
        <v>62</v>
      </c>
      <c r="L180" s="12" t="s">
        <v>54</v>
      </c>
      <c r="M180" s="13">
        <v>44564</v>
      </c>
      <c r="N180" s="14">
        <v>179.98</v>
      </c>
    </row>
    <row r="181" spans="1:14" ht="15" thickBot="1" x14ac:dyDescent="0.4">
      <c r="A181" s="12" t="s">
        <v>351</v>
      </c>
      <c r="B181" s="13">
        <v>45661</v>
      </c>
      <c r="C181" s="12" t="s">
        <v>352</v>
      </c>
      <c r="D181" s="12" t="s">
        <v>353</v>
      </c>
      <c r="E181" s="12" t="s">
        <v>88</v>
      </c>
      <c r="F181" s="12" t="s">
        <v>89</v>
      </c>
      <c r="G181" s="12" t="s">
        <v>46</v>
      </c>
      <c r="H181" s="14">
        <v>1</v>
      </c>
      <c r="I181" s="14">
        <v>899.99</v>
      </c>
      <c r="J181" s="12" t="s">
        <v>61</v>
      </c>
      <c r="K181" s="12" t="s">
        <v>67</v>
      </c>
      <c r="L181" s="12" t="s">
        <v>63</v>
      </c>
      <c r="M181" s="13">
        <v>44752</v>
      </c>
      <c r="N181" s="14">
        <v>899.99</v>
      </c>
    </row>
    <row r="182" spans="1:14" ht="15" thickBot="1" x14ac:dyDescent="0.4">
      <c r="A182" s="12" t="s">
        <v>354</v>
      </c>
      <c r="B182" s="13">
        <v>45663</v>
      </c>
      <c r="C182" s="12" t="s">
        <v>156</v>
      </c>
      <c r="D182" s="12" t="s">
        <v>157</v>
      </c>
      <c r="E182" s="12" t="s">
        <v>79</v>
      </c>
      <c r="F182" s="12" t="s">
        <v>80</v>
      </c>
      <c r="G182" s="12" t="s">
        <v>46</v>
      </c>
      <c r="H182" s="14">
        <v>5</v>
      </c>
      <c r="I182" s="14">
        <v>149.99</v>
      </c>
      <c r="J182" s="12" t="s">
        <v>61</v>
      </c>
      <c r="K182" s="12" t="s">
        <v>90</v>
      </c>
      <c r="L182" s="12" t="s">
        <v>54</v>
      </c>
      <c r="M182" s="13">
        <v>44824</v>
      </c>
      <c r="N182" s="14">
        <v>749.95</v>
      </c>
    </row>
    <row r="183" spans="1:14" ht="15" thickBot="1" x14ac:dyDescent="0.4">
      <c r="A183" s="12" t="s">
        <v>355</v>
      </c>
      <c r="B183" s="13">
        <v>45663</v>
      </c>
      <c r="C183" s="12" t="s">
        <v>69</v>
      </c>
      <c r="D183" s="12" t="s">
        <v>70</v>
      </c>
      <c r="E183" s="12" t="s">
        <v>132</v>
      </c>
      <c r="F183" s="12" t="s">
        <v>133</v>
      </c>
      <c r="G183" s="12" t="s">
        <v>73</v>
      </c>
      <c r="H183" s="14">
        <v>3</v>
      </c>
      <c r="I183" s="14">
        <v>299.99</v>
      </c>
      <c r="J183" s="12" t="s">
        <v>47</v>
      </c>
      <c r="K183" s="12" t="s">
        <v>62</v>
      </c>
      <c r="L183" s="12" t="s">
        <v>63</v>
      </c>
      <c r="M183" s="13">
        <v>44422</v>
      </c>
      <c r="N183" s="14">
        <v>899.97</v>
      </c>
    </row>
    <row r="184" spans="1:14" ht="15" thickBot="1" x14ac:dyDescent="0.4">
      <c r="A184" s="12" t="s">
        <v>356</v>
      </c>
      <c r="B184" s="13">
        <v>45666</v>
      </c>
      <c r="C184" s="12" t="s">
        <v>92</v>
      </c>
      <c r="D184" s="12" t="s">
        <v>93</v>
      </c>
      <c r="E184" s="12" t="s">
        <v>107</v>
      </c>
      <c r="F184" s="12" t="s">
        <v>108</v>
      </c>
      <c r="G184" s="12" t="s">
        <v>46</v>
      </c>
      <c r="H184" s="14">
        <v>3</v>
      </c>
      <c r="I184" s="14">
        <v>699.99</v>
      </c>
      <c r="J184" s="12" t="s">
        <v>53</v>
      </c>
      <c r="K184" s="12" t="s">
        <v>48</v>
      </c>
      <c r="L184" s="12" t="s">
        <v>54</v>
      </c>
      <c r="M184" s="13">
        <v>45105</v>
      </c>
      <c r="N184" s="14">
        <v>2099.9699999999998</v>
      </c>
    </row>
    <row r="185" spans="1:14" ht="15" thickBot="1" x14ac:dyDescent="0.4">
      <c r="A185" s="12" t="s">
        <v>357</v>
      </c>
      <c r="B185" s="13">
        <v>45667</v>
      </c>
      <c r="C185" s="12" t="s">
        <v>135</v>
      </c>
      <c r="D185" s="12" t="s">
        <v>136</v>
      </c>
      <c r="E185" s="12" t="s">
        <v>153</v>
      </c>
      <c r="F185" s="12" t="s">
        <v>154</v>
      </c>
      <c r="G185" s="12" t="s">
        <v>73</v>
      </c>
      <c r="H185" s="14">
        <v>5</v>
      </c>
      <c r="I185" s="14">
        <v>199.99</v>
      </c>
      <c r="J185" s="12" t="s">
        <v>61</v>
      </c>
      <c r="K185" s="12" t="s">
        <v>48</v>
      </c>
      <c r="L185" s="12" t="s">
        <v>63</v>
      </c>
      <c r="M185" s="13">
        <v>44633</v>
      </c>
      <c r="N185" s="14">
        <v>999.95</v>
      </c>
    </row>
    <row r="186" spans="1:14" ht="15" thickBot="1" x14ac:dyDescent="0.4">
      <c r="A186" s="12" t="s">
        <v>358</v>
      </c>
      <c r="B186" s="13">
        <v>45667</v>
      </c>
      <c r="C186" s="12" t="s">
        <v>120</v>
      </c>
      <c r="D186" s="12" t="s">
        <v>121</v>
      </c>
      <c r="E186" s="12" t="s">
        <v>44</v>
      </c>
      <c r="F186" s="12" t="s">
        <v>45</v>
      </c>
      <c r="G186" s="12" t="s">
        <v>46</v>
      </c>
      <c r="H186" s="14">
        <v>5</v>
      </c>
      <c r="I186" s="14">
        <v>249.99</v>
      </c>
      <c r="J186" s="12" t="s">
        <v>53</v>
      </c>
      <c r="K186" s="12" t="s">
        <v>62</v>
      </c>
      <c r="L186" s="12" t="s">
        <v>49</v>
      </c>
      <c r="M186" s="13">
        <v>45330</v>
      </c>
      <c r="N186" s="14">
        <v>1249.95</v>
      </c>
    </row>
    <row r="187" spans="1:14" ht="15" thickBot="1" x14ac:dyDescent="0.4">
      <c r="A187" s="12" t="s">
        <v>359</v>
      </c>
      <c r="B187" s="13">
        <v>45668</v>
      </c>
      <c r="C187" s="12" t="s">
        <v>165</v>
      </c>
      <c r="D187" s="12" t="s">
        <v>166</v>
      </c>
      <c r="E187" s="12" t="s">
        <v>79</v>
      </c>
      <c r="F187" s="12" t="s">
        <v>80</v>
      </c>
      <c r="G187" s="12" t="s">
        <v>46</v>
      </c>
      <c r="H187" s="14">
        <v>4</v>
      </c>
      <c r="I187" s="14">
        <v>149.99</v>
      </c>
      <c r="J187" s="12" t="s">
        <v>84</v>
      </c>
      <c r="K187" s="12" t="s">
        <v>90</v>
      </c>
      <c r="L187" s="12" t="s">
        <v>63</v>
      </c>
      <c r="M187" s="13">
        <v>44536</v>
      </c>
      <c r="N187" s="14">
        <v>599.96</v>
      </c>
    </row>
    <row r="188" spans="1:14" ht="15" thickBot="1" x14ac:dyDescent="0.4">
      <c r="A188" s="12" t="s">
        <v>360</v>
      </c>
      <c r="B188" s="13">
        <v>45668</v>
      </c>
      <c r="C188" s="12" t="s">
        <v>105</v>
      </c>
      <c r="D188" s="12" t="s">
        <v>106</v>
      </c>
      <c r="E188" s="12" t="s">
        <v>107</v>
      </c>
      <c r="F188" s="12" t="s">
        <v>108</v>
      </c>
      <c r="G188" s="12" t="s">
        <v>46</v>
      </c>
      <c r="H188" s="14">
        <v>3</v>
      </c>
      <c r="I188" s="14">
        <v>699.99</v>
      </c>
      <c r="J188" s="12" t="s">
        <v>47</v>
      </c>
      <c r="K188" s="12" t="s">
        <v>67</v>
      </c>
      <c r="L188" s="12" t="s">
        <v>54</v>
      </c>
      <c r="M188" s="13">
        <v>44602</v>
      </c>
      <c r="N188" s="14">
        <v>2099.9699999999998</v>
      </c>
    </row>
    <row r="189" spans="1:14" ht="15" thickBot="1" x14ac:dyDescent="0.4">
      <c r="A189" s="12" t="s">
        <v>361</v>
      </c>
      <c r="B189" s="13">
        <v>45670</v>
      </c>
      <c r="C189" s="12" t="s">
        <v>320</v>
      </c>
      <c r="D189" s="12" t="s">
        <v>321</v>
      </c>
      <c r="E189" s="12" t="s">
        <v>141</v>
      </c>
      <c r="F189" s="12" t="s">
        <v>142</v>
      </c>
      <c r="G189" s="12" t="s">
        <v>60</v>
      </c>
      <c r="H189" s="14">
        <v>1</v>
      </c>
      <c r="I189" s="14">
        <v>79.989999999999995</v>
      </c>
      <c r="J189" s="12" t="s">
        <v>53</v>
      </c>
      <c r="K189" s="12" t="s">
        <v>62</v>
      </c>
      <c r="L189" s="12" t="s">
        <v>49</v>
      </c>
      <c r="M189" s="13">
        <v>45322</v>
      </c>
      <c r="N189" s="14">
        <v>79.989999999999995</v>
      </c>
    </row>
    <row r="190" spans="1:14" ht="15" thickBot="1" x14ac:dyDescent="0.4">
      <c r="A190" s="12" t="s">
        <v>362</v>
      </c>
      <c r="B190" s="13">
        <v>45670</v>
      </c>
      <c r="C190" s="12" t="s">
        <v>113</v>
      </c>
      <c r="D190" s="12" t="s">
        <v>114</v>
      </c>
      <c r="E190" s="12" t="s">
        <v>132</v>
      </c>
      <c r="F190" s="12" t="s">
        <v>133</v>
      </c>
      <c r="G190" s="12" t="s">
        <v>73</v>
      </c>
      <c r="H190" s="14">
        <v>1</v>
      </c>
      <c r="I190" s="14">
        <v>299.99</v>
      </c>
      <c r="J190" s="12" t="s">
        <v>53</v>
      </c>
      <c r="K190" s="12" t="s">
        <v>67</v>
      </c>
      <c r="L190" s="12" t="s">
        <v>49</v>
      </c>
      <c r="M190" s="13">
        <v>44436</v>
      </c>
      <c r="N190" s="14">
        <v>299.99</v>
      </c>
    </row>
    <row r="191" spans="1:14" ht="15" thickBot="1" x14ac:dyDescent="0.4">
      <c r="A191" s="12" t="s">
        <v>363</v>
      </c>
      <c r="B191" s="13">
        <v>45671</v>
      </c>
      <c r="C191" s="12" t="s">
        <v>185</v>
      </c>
      <c r="D191" s="12" t="s">
        <v>186</v>
      </c>
      <c r="E191" s="12" t="s">
        <v>44</v>
      </c>
      <c r="F191" s="12" t="s">
        <v>45</v>
      </c>
      <c r="G191" s="12" t="s">
        <v>46</v>
      </c>
      <c r="H191" s="14">
        <v>4</v>
      </c>
      <c r="I191" s="14">
        <v>249.99</v>
      </c>
      <c r="J191" s="12" t="s">
        <v>53</v>
      </c>
      <c r="K191" s="12" t="s">
        <v>67</v>
      </c>
      <c r="L191" s="12" t="s">
        <v>54</v>
      </c>
      <c r="M191" s="13">
        <v>44460</v>
      </c>
      <c r="N191" s="14">
        <v>999.96</v>
      </c>
    </row>
    <row r="192" spans="1:14" ht="15" thickBot="1" x14ac:dyDescent="0.4">
      <c r="A192" s="12" t="s">
        <v>364</v>
      </c>
      <c r="B192" s="13">
        <v>45671</v>
      </c>
      <c r="C192" s="12" t="s">
        <v>147</v>
      </c>
      <c r="D192" s="12" t="s">
        <v>148</v>
      </c>
      <c r="E192" s="12" t="s">
        <v>79</v>
      </c>
      <c r="F192" s="12" t="s">
        <v>80</v>
      </c>
      <c r="G192" s="12" t="s">
        <v>46</v>
      </c>
      <c r="H192" s="14">
        <v>2</v>
      </c>
      <c r="I192" s="14">
        <v>149.99</v>
      </c>
      <c r="J192" s="12" t="s">
        <v>47</v>
      </c>
      <c r="K192" s="12" t="s">
        <v>67</v>
      </c>
      <c r="L192" s="12" t="s">
        <v>63</v>
      </c>
      <c r="M192" s="13">
        <v>44913</v>
      </c>
      <c r="N192" s="14">
        <v>299.98</v>
      </c>
    </row>
    <row r="193" spans="1:14" ht="15" thickBot="1" x14ac:dyDescent="0.4">
      <c r="A193" s="12" t="s">
        <v>365</v>
      </c>
      <c r="B193" s="13">
        <v>45671</v>
      </c>
      <c r="C193" s="12" t="s">
        <v>261</v>
      </c>
      <c r="D193" s="12" t="s">
        <v>262</v>
      </c>
      <c r="E193" s="12" t="s">
        <v>132</v>
      </c>
      <c r="F193" s="12" t="s">
        <v>133</v>
      </c>
      <c r="G193" s="12" t="s">
        <v>73</v>
      </c>
      <c r="H193" s="14">
        <v>3</v>
      </c>
      <c r="I193" s="14">
        <v>299.99</v>
      </c>
      <c r="J193" s="12" t="s">
        <v>53</v>
      </c>
      <c r="K193" s="12" t="s">
        <v>62</v>
      </c>
      <c r="L193" s="12" t="s">
        <v>49</v>
      </c>
      <c r="M193" s="13">
        <v>45204</v>
      </c>
      <c r="N193" s="14">
        <v>899.97</v>
      </c>
    </row>
    <row r="194" spans="1:14" ht="15" thickBot="1" x14ac:dyDescent="0.4">
      <c r="A194" s="12" t="s">
        <v>366</v>
      </c>
      <c r="B194" s="13">
        <v>45673</v>
      </c>
      <c r="C194" s="12" t="s">
        <v>253</v>
      </c>
      <c r="D194" s="12" t="s">
        <v>254</v>
      </c>
      <c r="E194" s="12" t="s">
        <v>153</v>
      </c>
      <c r="F194" s="12" t="s">
        <v>154</v>
      </c>
      <c r="G194" s="12" t="s">
        <v>73</v>
      </c>
      <c r="H194" s="14">
        <v>4</v>
      </c>
      <c r="I194" s="14">
        <v>199.99</v>
      </c>
      <c r="J194" s="12" t="s">
        <v>84</v>
      </c>
      <c r="K194" s="12" t="s">
        <v>62</v>
      </c>
      <c r="L194" s="12" t="s">
        <v>63</v>
      </c>
      <c r="M194" s="13">
        <v>44544</v>
      </c>
      <c r="N194" s="14">
        <v>799.96</v>
      </c>
    </row>
    <row r="195" spans="1:14" ht="15" thickBot="1" x14ac:dyDescent="0.4">
      <c r="A195" s="12" t="s">
        <v>367</v>
      </c>
      <c r="B195" s="13">
        <v>45673</v>
      </c>
      <c r="C195" s="12" t="s">
        <v>238</v>
      </c>
      <c r="D195" s="12" t="s">
        <v>239</v>
      </c>
      <c r="E195" s="12" t="s">
        <v>132</v>
      </c>
      <c r="F195" s="12" t="s">
        <v>133</v>
      </c>
      <c r="G195" s="12" t="s">
        <v>73</v>
      </c>
      <c r="H195" s="14">
        <v>5</v>
      </c>
      <c r="I195" s="14">
        <v>299.99</v>
      </c>
      <c r="J195" s="12" t="s">
        <v>84</v>
      </c>
      <c r="K195" s="12" t="s">
        <v>48</v>
      </c>
      <c r="L195" s="12" t="s">
        <v>49</v>
      </c>
      <c r="M195" s="13">
        <v>44431</v>
      </c>
      <c r="N195" s="14">
        <v>1499.95</v>
      </c>
    </row>
    <row r="196" spans="1:14" ht="15" thickBot="1" x14ac:dyDescent="0.4">
      <c r="A196" s="12" t="s">
        <v>368</v>
      </c>
      <c r="B196" s="13">
        <v>45673</v>
      </c>
      <c r="C196" s="12" t="s">
        <v>86</v>
      </c>
      <c r="D196" s="12" t="s">
        <v>87</v>
      </c>
      <c r="E196" s="12" t="s">
        <v>71</v>
      </c>
      <c r="F196" s="12" t="s">
        <v>72</v>
      </c>
      <c r="G196" s="12" t="s">
        <v>73</v>
      </c>
      <c r="H196" s="14">
        <v>3</v>
      </c>
      <c r="I196" s="14">
        <v>149.99</v>
      </c>
      <c r="J196" s="12" t="s">
        <v>53</v>
      </c>
      <c r="K196" s="12" t="s">
        <v>90</v>
      </c>
      <c r="L196" s="12" t="s">
        <v>63</v>
      </c>
      <c r="M196" s="13">
        <v>44395</v>
      </c>
      <c r="N196" s="14">
        <v>449.97</v>
      </c>
    </row>
    <row r="197" spans="1:14" ht="15" thickBot="1" x14ac:dyDescent="0.4">
      <c r="A197" s="12" t="s">
        <v>369</v>
      </c>
      <c r="B197" s="13">
        <v>45676</v>
      </c>
      <c r="C197" s="12" t="s">
        <v>156</v>
      </c>
      <c r="D197" s="12" t="s">
        <v>157</v>
      </c>
      <c r="E197" s="12" t="s">
        <v>58</v>
      </c>
      <c r="F197" s="12" t="s">
        <v>59</v>
      </c>
      <c r="G197" s="12" t="s">
        <v>60</v>
      </c>
      <c r="H197" s="14">
        <v>5</v>
      </c>
      <c r="I197" s="14">
        <v>59.99</v>
      </c>
      <c r="J197" s="12" t="s">
        <v>84</v>
      </c>
      <c r="K197" s="12" t="s">
        <v>90</v>
      </c>
      <c r="L197" s="12" t="s">
        <v>49</v>
      </c>
      <c r="M197" s="13">
        <v>44642</v>
      </c>
      <c r="N197" s="14">
        <v>299.95</v>
      </c>
    </row>
    <row r="198" spans="1:14" ht="15" thickBot="1" x14ac:dyDescent="0.4">
      <c r="A198" s="12" t="s">
        <v>370</v>
      </c>
      <c r="B198" s="13">
        <v>45682</v>
      </c>
      <c r="C198" s="12" t="s">
        <v>95</v>
      </c>
      <c r="D198" s="12" t="s">
        <v>96</v>
      </c>
      <c r="E198" s="12" t="s">
        <v>58</v>
      </c>
      <c r="F198" s="12" t="s">
        <v>59</v>
      </c>
      <c r="G198" s="12" t="s">
        <v>60</v>
      </c>
      <c r="H198" s="14">
        <v>4</v>
      </c>
      <c r="I198" s="14">
        <v>59.99</v>
      </c>
      <c r="J198" s="12" t="s">
        <v>84</v>
      </c>
      <c r="K198" s="12" t="s">
        <v>90</v>
      </c>
      <c r="L198" s="12" t="s">
        <v>63</v>
      </c>
      <c r="M198" s="13">
        <v>44564</v>
      </c>
      <c r="N198" s="14">
        <v>239.96</v>
      </c>
    </row>
    <row r="199" spans="1:14" ht="15" thickBot="1" x14ac:dyDescent="0.4">
      <c r="A199" s="12" t="s">
        <v>371</v>
      </c>
      <c r="B199" s="13">
        <v>45683</v>
      </c>
      <c r="C199" s="12" t="s">
        <v>75</v>
      </c>
      <c r="D199" s="12" t="s">
        <v>76</v>
      </c>
      <c r="E199" s="12" t="s">
        <v>44</v>
      </c>
      <c r="F199" s="12" t="s">
        <v>45</v>
      </c>
      <c r="G199" s="12" t="s">
        <v>46</v>
      </c>
      <c r="H199" s="14">
        <v>4</v>
      </c>
      <c r="I199" s="14">
        <v>249.99</v>
      </c>
      <c r="J199" s="12" t="s">
        <v>84</v>
      </c>
      <c r="K199" s="12" t="s">
        <v>48</v>
      </c>
      <c r="L199" s="12" t="s">
        <v>54</v>
      </c>
      <c r="M199" s="13">
        <v>45217</v>
      </c>
      <c r="N199" s="14">
        <v>999.96</v>
      </c>
    </row>
    <row r="200" spans="1:14" ht="15" thickBot="1" x14ac:dyDescent="0.4">
      <c r="A200" s="12" t="s">
        <v>372</v>
      </c>
      <c r="B200" s="13">
        <v>45686</v>
      </c>
      <c r="C200" s="12" t="s">
        <v>279</v>
      </c>
      <c r="D200" s="12" t="s">
        <v>280</v>
      </c>
      <c r="E200" s="12" t="s">
        <v>88</v>
      </c>
      <c r="F200" s="12" t="s">
        <v>89</v>
      </c>
      <c r="G200" s="12" t="s">
        <v>46</v>
      </c>
      <c r="H200" s="14">
        <v>4</v>
      </c>
      <c r="I200" s="14">
        <v>899.99</v>
      </c>
      <c r="J200" s="12" t="s">
        <v>61</v>
      </c>
      <c r="K200" s="12" t="s">
        <v>48</v>
      </c>
      <c r="L200" s="12" t="s">
        <v>49</v>
      </c>
      <c r="M200" s="13">
        <v>44734</v>
      </c>
      <c r="N200" s="14">
        <v>3599.96</v>
      </c>
    </row>
    <row r="201" spans="1:14" ht="15" thickBot="1" x14ac:dyDescent="0.4">
      <c r="A201" s="12" t="s">
        <v>373</v>
      </c>
      <c r="B201" s="13">
        <v>45686</v>
      </c>
      <c r="C201" s="12" t="s">
        <v>113</v>
      </c>
      <c r="D201" s="12" t="s">
        <v>114</v>
      </c>
      <c r="E201" s="12" t="s">
        <v>132</v>
      </c>
      <c r="F201" s="12" t="s">
        <v>133</v>
      </c>
      <c r="G201" s="12" t="s">
        <v>73</v>
      </c>
      <c r="H201" s="14">
        <v>3</v>
      </c>
      <c r="I201" s="14">
        <v>299.99</v>
      </c>
      <c r="J201" s="12" t="s">
        <v>84</v>
      </c>
      <c r="K201" s="12" t="s">
        <v>77</v>
      </c>
      <c r="L201" s="12" t="s">
        <v>63</v>
      </c>
      <c r="M201" s="13">
        <v>44952</v>
      </c>
      <c r="N201" s="14">
        <v>899.97</v>
      </c>
    </row>
    <row r="202" spans="1:14" ht="15" thickBot="1" x14ac:dyDescent="0.4">
      <c r="A202" s="12" t="s">
        <v>374</v>
      </c>
      <c r="B202" s="13">
        <v>45686</v>
      </c>
      <c r="C202" s="12" t="s">
        <v>320</v>
      </c>
      <c r="D202" s="12" t="s">
        <v>321</v>
      </c>
      <c r="E202" s="12" t="s">
        <v>107</v>
      </c>
      <c r="F202" s="12" t="s">
        <v>108</v>
      </c>
      <c r="G202" s="12" t="s">
        <v>46</v>
      </c>
      <c r="H202" s="14">
        <v>2</v>
      </c>
      <c r="I202" s="14">
        <v>699.99</v>
      </c>
      <c r="J202" s="12" t="s">
        <v>84</v>
      </c>
      <c r="K202" s="12" t="s">
        <v>48</v>
      </c>
      <c r="L202" s="12" t="s">
        <v>54</v>
      </c>
      <c r="M202" s="13">
        <v>44681</v>
      </c>
      <c r="N202" s="14">
        <v>1399.98</v>
      </c>
    </row>
    <row r="203" spans="1:14" ht="15" thickBot="1" x14ac:dyDescent="0.4">
      <c r="A203" s="12" t="s">
        <v>375</v>
      </c>
      <c r="B203" s="13">
        <v>45688</v>
      </c>
      <c r="C203" s="12" t="s">
        <v>92</v>
      </c>
      <c r="D203" s="12" t="s">
        <v>93</v>
      </c>
      <c r="E203" s="12" t="s">
        <v>107</v>
      </c>
      <c r="F203" s="12" t="s">
        <v>108</v>
      </c>
      <c r="G203" s="12" t="s">
        <v>46</v>
      </c>
      <c r="H203" s="14">
        <v>4</v>
      </c>
      <c r="I203" s="14">
        <v>699.99</v>
      </c>
      <c r="J203" s="12" t="s">
        <v>84</v>
      </c>
      <c r="K203" s="12" t="s">
        <v>77</v>
      </c>
      <c r="L203" s="12" t="s">
        <v>54</v>
      </c>
      <c r="M203" s="13">
        <v>44692</v>
      </c>
      <c r="N203" s="14">
        <v>2799.96</v>
      </c>
    </row>
    <row r="204" spans="1:14" ht="15" thickBot="1" x14ac:dyDescent="0.4">
      <c r="A204" s="12" t="s">
        <v>376</v>
      </c>
      <c r="B204" s="13">
        <v>45688</v>
      </c>
      <c r="C204" s="12" t="s">
        <v>150</v>
      </c>
      <c r="D204" s="12" t="s">
        <v>151</v>
      </c>
      <c r="E204" s="12" t="s">
        <v>144</v>
      </c>
      <c r="F204" s="12" t="s">
        <v>145</v>
      </c>
      <c r="G204" s="12" t="s">
        <v>46</v>
      </c>
      <c r="H204" s="14">
        <v>2</v>
      </c>
      <c r="I204" s="14">
        <v>89.99</v>
      </c>
      <c r="J204" s="12" t="s">
        <v>84</v>
      </c>
      <c r="K204" s="12" t="s">
        <v>62</v>
      </c>
      <c r="L204" s="12" t="s">
        <v>49</v>
      </c>
      <c r="M204" s="13">
        <v>44777</v>
      </c>
      <c r="N204" s="14">
        <v>179.98</v>
      </c>
    </row>
    <row r="205" spans="1:14" ht="15" thickBot="1" x14ac:dyDescent="0.4">
      <c r="A205" s="12" t="s">
        <v>377</v>
      </c>
      <c r="B205" s="13">
        <v>45688</v>
      </c>
      <c r="C205" s="12" t="s">
        <v>69</v>
      </c>
      <c r="D205" s="12" t="s">
        <v>70</v>
      </c>
      <c r="E205" s="12" t="s">
        <v>144</v>
      </c>
      <c r="F205" s="12" t="s">
        <v>145</v>
      </c>
      <c r="G205" s="12" t="s">
        <v>46</v>
      </c>
      <c r="H205" s="14">
        <v>3</v>
      </c>
      <c r="I205" s="14">
        <v>89.99</v>
      </c>
      <c r="J205" s="12" t="s">
        <v>84</v>
      </c>
      <c r="K205" s="12" t="s">
        <v>62</v>
      </c>
      <c r="L205" s="12" t="s">
        <v>54</v>
      </c>
      <c r="M205" s="13">
        <v>45307</v>
      </c>
      <c r="N205" s="14">
        <v>269.97000000000003</v>
      </c>
    </row>
    <row r="206" spans="1:14" ht="15" thickBot="1" x14ac:dyDescent="0.4">
      <c r="A206" s="12" t="s">
        <v>378</v>
      </c>
      <c r="B206" s="13">
        <v>45692</v>
      </c>
      <c r="C206" s="12" t="s">
        <v>352</v>
      </c>
      <c r="D206" s="12" t="s">
        <v>353</v>
      </c>
      <c r="E206" s="12" t="s">
        <v>58</v>
      </c>
      <c r="F206" s="12" t="s">
        <v>59</v>
      </c>
      <c r="G206" s="12" t="s">
        <v>60</v>
      </c>
      <c r="H206" s="14">
        <v>1</v>
      </c>
      <c r="I206" s="14">
        <v>59.99</v>
      </c>
      <c r="J206" s="12" t="s">
        <v>84</v>
      </c>
      <c r="K206" s="12" t="s">
        <v>48</v>
      </c>
      <c r="L206" s="12" t="s">
        <v>63</v>
      </c>
      <c r="M206" s="13">
        <v>45045</v>
      </c>
      <c r="N206" s="14">
        <v>59.99</v>
      </c>
    </row>
    <row r="207" spans="1:14" ht="15" thickBot="1" x14ac:dyDescent="0.4">
      <c r="A207" s="12" t="s">
        <v>379</v>
      </c>
      <c r="B207" s="13">
        <v>45695</v>
      </c>
      <c r="C207" s="12" t="s">
        <v>273</v>
      </c>
      <c r="D207" s="12" t="s">
        <v>274</v>
      </c>
      <c r="E207" s="12" t="s">
        <v>71</v>
      </c>
      <c r="F207" s="12" t="s">
        <v>72</v>
      </c>
      <c r="G207" s="12" t="s">
        <v>73</v>
      </c>
      <c r="H207" s="14">
        <v>3</v>
      </c>
      <c r="I207" s="14">
        <v>149.99</v>
      </c>
      <c r="J207" s="12" t="s">
        <v>84</v>
      </c>
      <c r="K207" s="12" t="s">
        <v>67</v>
      </c>
      <c r="L207" s="12" t="s">
        <v>54</v>
      </c>
      <c r="M207" s="13">
        <v>44564</v>
      </c>
      <c r="N207" s="14">
        <v>449.97</v>
      </c>
    </row>
    <row r="208" spans="1:14" ht="15" thickBot="1" x14ac:dyDescent="0.4">
      <c r="A208" s="12" t="s">
        <v>380</v>
      </c>
      <c r="B208" s="13">
        <v>45695</v>
      </c>
      <c r="C208" s="12" t="s">
        <v>120</v>
      </c>
      <c r="D208" s="12" t="s">
        <v>121</v>
      </c>
      <c r="E208" s="12" t="s">
        <v>132</v>
      </c>
      <c r="F208" s="12" t="s">
        <v>133</v>
      </c>
      <c r="G208" s="12" t="s">
        <v>73</v>
      </c>
      <c r="H208" s="14">
        <v>5</v>
      </c>
      <c r="I208" s="14">
        <v>299.99</v>
      </c>
      <c r="J208" s="12" t="s">
        <v>53</v>
      </c>
      <c r="K208" s="12" t="s">
        <v>62</v>
      </c>
      <c r="L208" s="12" t="s">
        <v>49</v>
      </c>
      <c r="M208" s="13">
        <v>44959</v>
      </c>
      <c r="N208" s="14">
        <v>1499.95</v>
      </c>
    </row>
    <row r="209" spans="1:14" ht="15" thickBot="1" x14ac:dyDescent="0.4">
      <c r="A209" s="12" t="s">
        <v>381</v>
      </c>
      <c r="B209" s="13">
        <v>45696</v>
      </c>
      <c r="C209" s="12" t="s">
        <v>177</v>
      </c>
      <c r="D209" s="12" t="s">
        <v>178</v>
      </c>
      <c r="E209" s="12" t="s">
        <v>58</v>
      </c>
      <c r="F209" s="12" t="s">
        <v>59</v>
      </c>
      <c r="G209" s="12" t="s">
        <v>60</v>
      </c>
      <c r="H209" s="14">
        <v>5</v>
      </c>
      <c r="I209" s="14">
        <v>59.99</v>
      </c>
      <c r="J209" s="12" t="s">
        <v>84</v>
      </c>
      <c r="K209" s="12" t="s">
        <v>48</v>
      </c>
      <c r="L209" s="12" t="s">
        <v>63</v>
      </c>
      <c r="M209" s="13">
        <v>45177</v>
      </c>
      <c r="N209" s="14">
        <v>299.95</v>
      </c>
    </row>
    <row r="210" spans="1:14" ht="15" thickBot="1" x14ac:dyDescent="0.4">
      <c r="A210" s="12" t="s">
        <v>382</v>
      </c>
      <c r="B210" s="13">
        <v>45701</v>
      </c>
      <c r="C210" s="12" t="s">
        <v>135</v>
      </c>
      <c r="D210" s="12" t="s">
        <v>136</v>
      </c>
      <c r="E210" s="12" t="s">
        <v>141</v>
      </c>
      <c r="F210" s="12" t="s">
        <v>142</v>
      </c>
      <c r="G210" s="12" t="s">
        <v>60</v>
      </c>
      <c r="H210" s="14">
        <v>3</v>
      </c>
      <c r="I210" s="14">
        <v>79.989999999999995</v>
      </c>
      <c r="J210" s="12" t="s">
        <v>47</v>
      </c>
      <c r="K210" s="12" t="s">
        <v>90</v>
      </c>
      <c r="L210" s="12" t="s">
        <v>54</v>
      </c>
      <c r="M210" s="13">
        <v>44436</v>
      </c>
      <c r="N210" s="14">
        <v>239.97</v>
      </c>
    </row>
    <row r="211" spans="1:14" ht="15" thickBot="1" x14ac:dyDescent="0.4">
      <c r="A211" s="12" t="s">
        <v>383</v>
      </c>
      <c r="B211" s="13">
        <v>45704</v>
      </c>
      <c r="C211" s="12" t="s">
        <v>56</v>
      </c>
      <c r="D211" s="12" t="s">
        <v>57</v>
      </c>
      <c r="E211" s="12" t="s">
        <v>153</v>
      </c>
      <c r="F211" s="12" t="s">
        <v>154</v>
      </c>
      <c r="G211" s="12" t="s">
        <v>73</v>
      </c>
      <c r="H211" s="14">
        <v>3</v>
      </c>
      <c r="I211" s="14">
        <v>199.99</v>
      </c>
      <c r="J211" s="12" t="s">
        <v>47</v>
      </c>
      <c r="K211" s="12" t="s">
        <v>48</v>
      </c>
      <c r="L211" s="12" t="s">
        <v>49</v>
      </c>
      <c r="M211" s="13">
        <v>44735</v>
      </c>
      <c r="N211" s="14">
        <v>599.97</v>
      </c>
    </row>
    <row r="212" spans="1:14" ht="15" thickBot="1" x14ac:dyDescent="0.4">
      <c r="A212" s="12" t="s">
        <v>384</v>
      </c>
      <c r="B212" s="13">
        <v>45704</v>
      </c>
      <c r="C212" s="12" t="s">
        <v>42</v>
      </c>
      <c r="D212" s="12" t="s">
        <v>43</v>
      </c>
      <c r="E212" s="12" t="s">
        <v>144</v>
      </c>
      <c r="F212" s="12" t="s">
        <v>145</v>
      </c>
      <c r="G212" s="12" t="s">
        <v>46</v>
      </c>
      <c r="H212" s="14">
        <v>2</v>
      </c>
      <c r="I212" s="14">
        <v>89.99</v>
      </c>
      <c r="J212" s="12" t="s">
        <v>61</v>
      </c>
      <c r="K212" s="12" t="s">
        <v>48</v>
      </c>
      <c r="L212" s="12" t="s">
        <v>49</v>
      </c>
      <c r="M212" s="13">
        <v>45257</v>
      </c>
      <c r="N212" s="14">
        <v>179.98</v>
      </c>
    </row>
    <row r="213" spans="1:14" ht="15" thickBot="1" x14ac:dyDescent="0.4">
      <c r="A213" s="12" t="s">
        <v>385</v>
      </c>
      <c r="B213" s="13">
        <v>45705</v>
      </c>
      <c r="C213" s="12" t="s">
        <v>286</v>
      </c>
      <c r="D213" s="12" t="s">
        <v>287</v>
      </c>
      <c r="E213" s="12" t="s">
        <v>71</v>
      </c>
      <c r="F213" s="12" t="s">
        <v>72</v>
      </c>
      <c r="G213" s="12" t="s">
        <v>73</v>
      </c>
      <c r="H213" s="14">
        <v>2</v>
      </c>
      <c r="I213" s="14">
        <v>149.99</v>
      </c>
      <c r="J213" s="12" t="s">
        <v>47</v>
      </c>
      <c r="K213" s="12" t="s">
        <v>62</v>
      </c>
      <c r="L213" s="12" t="s">
        <v>54</v>
      </c>
      <c r="M213" s="13">
        <v>44728</v>
      </c>
      <c r="N213" s="14">
        <v>299.98</v>
      </c>
    </row>
    <row r="214" spans="1:14" ht="15" thickBot="1" x14ac:dyDescent="0.4">
      <c r="A214" s="12" t="s">
        <v>386</v>
      </c>
      <c r="B214" s="13">
        <v>45707</v>
      </c>
      <c r="C214" s="12" t="s">
        <v>150</v>
      </c>
      <c r="D214" s="12" t="s">
        <v>151</v>
      </c>
      <c r="E214" s="12" t="s">
        <v>107</v>
      </c>
      <c r="F214" s="12" t="s">
        <v>108</v>
      </c>
      <c r="G214" s="12" t="s">
        <v>46</v>
      </c>
      <c r="H214" s="14">
        <v>5</v>
      </c>
      <c r="I214" s="14">
        <v>699.99</v>
      </c>
      <c r="J214" s="12" t="s">
        <v>61</v>
      </c>
      <c r="K214" s="12" t="s">
        <v>62</v>
      </c>
      <c r="L214" s="12" t="s">
        <v>54</v>
      </c>
      <c r="M214" s="13">
        <v>45352</v>
      </c>
      <c r="N214" s="14">
        <v>3499.95</v>
      </c>
    </row>
    <row r="215" spans="1:14" ht="15" thickBot="1" x14ac:dyDescent="0.4">
      <c r="A215" s="12" t="s">
        <v>387</v>
      </c>
      <c r="B215" s="13">
        <v>45707</v>
      </c>
      <c r="C215" s="12" t="s">
        <v>69</v>
      </c>
      <c r="D215" s="12" t="s">
        <v>70</v>
      </c>
      <c r="E215" s="12" t="s">
        <v>71</v>
      </c>
      <c r="F215" s="12" t="s">
        <v>72</v>
      </c>
      <c r="G215" s="12" t="s">
        <v>73</v>
      </c>
      <c r="H215" s="14">
        <v>3</v>
      </c>
      <c r="I215" s="14">
        <v>149.99</v>
      </c>
      <c r="J215" s="12" t="s">
        <v>61</v>
      </c>
      <c r="K215" s="12" t="s">
        <v>48</v>
      </c>
      <c r="L215" s="12" t="s">
        <v>63</v>
      </c>
      <c r="M215" s="13">
        <v>44633</v>
      </c>
      <c r="N215" s="14">
        <v>449.97</v>
      </c>
    </row>
    <row r="216" spans="1:14" ht="15" thickBot="1" x14ac:dyDescent="0.4">
      <c r="A216" s="12" t="s">
        <v>388</v>
      </c>
      <c r="B216" s="13">
        <v>45708</v>
      </c>
      <c r="C216" s="12" t="s">
        <v>123</v>
      </c>
      <c r="D216" s="12" t="s">
        <v>124</v>
      </c>
      <c r="E216" s="12" t="s">
        <v>88</v>
      </c>
      <c r="F216" s="12" t="s">
        <v>89</v>
      </c>
      <c r="G216" s="12" t="s">
        <v>46</v>
      </c>
      <c r="H216" s="14">
        <v>3</v>
      </c>
      <c r="I216" s="14">
        <v>899.99</v>
      </c>
      <c r="J216" s="12" t="s">
        <v>47</v>
      </c>
      <c r="K216" s="12" t="s">
        <v>90</v>
      </c>
      <c r="L216" s="12" t="s">
        <v>63</v>
      </c>
      <c r="M216" s="13">
        <v>44613</v>
      </c>
      <c r="N216" s="14">
        <v>2699.97</v>
      </c>
    </row>
    <row r="217" spans="1:14" ht="15" thickBot="1" x14ac:dyDescent="0.4">
      <c r="A217" s="12" t="s">
        <v>389</v>
      </c>
      <c r="B217" s="13">
        <v>45708</v>
      </c>
      <c r="C217" s="12" t="s">
        <v>219</v>
      </c>
      <c r="D217" s="12" t="s">
        <v>220</v>
      </c>
      <c r="E217" s="12" t="s">
        <v>153</v>
      </c>
      <c r="F217" s="12" t="s">
        <v>154</v>
      </c>
      <c r="G217" s="12" t="s">
        <v>73</v>
      </c>
      <c r="H217" s="14">
        <v>3</v>
      </c>
      <c r="I217" s="14">
        <v>199.99</v>
      </c>
      <c r="J217" s="12" t="s">
        <v>47</v>
      </c>
      <c r="K217" s="12" t="s">
        <v>77</v>
      </c>
      <c r="L217" s="12" t="s">
        <v>54</v>
      </c>
      <c r="M217" s="13">
        <v>44823</v>
      </c>
      <c r="N217" s="14">
        <v>599.97</v>
      </c>
    </row>
    <row r="218" spans="1:14" ht="15" thickBot="1" x14ac:dyDescent="0.4">
      <c r="A218" s="12" t="s">
        <v>390</v>
      </c>
      <c r="B218" s="13">
        <v>45710</v>
      </c>
      <c r="C218" s="12" t="s">
        <v>82</v>
      </c>
      <c r="D218" s="12" t="s">
        <v>83</v>
      </c>
      <c r="E218" s="12" t="s">
        <v>132</v>
      </c>
      <c r="F218" s="12" t="s">
        <v>133</v>
      </c>
      <c r="G218" s="12" t="s">
        <v>73</v>
      </c>
      <c r="H218" s="14">
        <v>5</v>
      </c>
      <c r="I218" s="14">
        <v>299.99</v>
      </c>
      <c r="J218" s="12" t="s">
        <v>47</v>
      </c>
      <c r="K218" s="12" t="s">
        <v>77</v>
      </c>
      <c r="L218" s="12" t="s">
        <v>63</v>
      </c>
      <c r="M218" s="13">
        <v>45142</v>
      </c>
      <c r="N218" s="14">
        <v>1499.95</v>
      </c>
    </row>
    <row r="219" spans="1:14" ht="15" thickBot="1" x14ac:dyDescent="0.4">
      <c r="A219" s="12" t="s">
        <v>391</v>
      </c>
      <c r="B219" s="13">
        <v>45710</v>
      </c>
      <c r="C219" s="12" t="s">
        <v>177</v>
      </c>
      <c r="D219" s="12" t="s">
        <v>178</v>
      </c>
      <c r="E219" s="12" t="s">
        <v>107</v>
      </c>
      <c r="F219" s="12" t="s">
        <v>108</v>
      </c>
      <c r="G219" s="12" t="s">
        <v>46</v>
      </c>
      <c r="H219" s="14">
        <v>1</v>
      </c>
      <c r="I219" s="14">
        <v>699.99</v>
      </c>
      <c r="J219" s="12" t="s">
        <v>61</v>
      </c>
      <c r="K219" s="12" t="s">
        <v>77</v>
      </c>
      <c r="L219" s="12" t="s">
        <v>49</v>
      </c>
      <c r="M219" s="13">
        <v>44934</v>
      </c>
      <c r="N219" s="14">
        <v>699.99</v>
      </c>
    </row>
    <row r="220" spans="1:14" ht="15" thickBot="1" x14ac:dyDescent="0.4">
      <c r="A220" s="12" t="s">
        <v>392</v>
      </c>
      <c r="B220" s="13">
        <v>45711</v>
      </c>
      <c r="C220" s="12" t="s">
        <v>273</v>
      </c>
      <c r="D220" s="12" t="s">
        <v>274</v>
      </c>
      <c r="E220" s="12" t="s">
        <v>107</v>
      </c>
      <c r="F220" s="12" t="s">
        <v>108</v>
      </c>
      <c r="G220" s="12" t="s">
        <v>46</v>
      </c>
      <c r="H220" s="14">
        <v>1</v>
      </c>
      <c r="I220" s="14">
        <v>699.99</v>
      </c>
      <c r="J220" s="12" t="s">
        <v>47</v>
      </c>
      <c r="K220" s="12" t="s">
        <v>67</v>
      </c>
      <c r="L220" s="12" t="s">
        <v>54</v>
      </c>
      <c r="M220" s="13">
        <v>44583</v>
      </c>
      <c r="N220" s="14">
        <v>699.99</v>
      </c>
    </row>
    <row r="221" spans="1:14" ht="15" thickBot="1" x14ac:dyDescent="0.4">
      <c r="A221" s="12" t="s">
        <v>393</v>
      </c>
      <c r="B221" s="13">
        <v>45711</v>
      </c>
      <c r="C221" s="12" t="s">
        <v>352</v>
      </c>
      <c r="D221" s="12" t="s">
        <v>353</v>
      </c>
      <c r="E221" s="12" t="s">
        <v>71</v>
      </c>
      <c r="F221" s="12" t="s">
        <v>72</v>
      </c>
      <c r="G221" s="12" t="s">
        <v>73</v>
      </c>
      <c r="H221" s="14">
        <v>4</v>
      </c>
      <c r="I221" s="14">
        <v>149.99</v>
      </c>
      <c r="J221" s="12" t="s">
        <v>61</v>
      </c>
      <c r="K221" s="12" t="s">
        <v>67</v>
      </c>
      <c r="L221" s="12" t="s">
        <v>54</v>
      </c>
      <c r="M221" s="13">
        <v>44412</v>
      </c>
      <c r="N221" s="14">
        <v>599.96</v>
      </c>
    </row>
    <row r="222" spans="1:14" ht="15" thickBot="1" x14ac:dyDescent="0.4">
      <c r="A222" s="12" t="s">
        <v>394</v>
      </c>
      <c r="B222" s="13">
        <v>45711</v>
      </c>
      <c r="C222" s="12" t="s">
        <v>238</v>
      </c>
      <c r="D222" s="12" t="s">
        <v>239</v>
      </c>
      <c r="E222" s="12" t="s">
        <v>144</v>
      </c>
      <c r="F222" s="12" t="s">
        <v>145</v>
      </c>
      <c r="G222" s="12" t="s">
        <v>46</v>
      </c>
      <c r="H222" s="14">
        <v>5</v>
      </c>
      <c r="I222" s="14">
        <v>89.99</v>
      </c>
      <c r="J222" s="12" t="s">
        <v>61</v>
      </c>
      <c r="K222" s="12" t="s">
        <v>77</v>
      </c>
      <c r="L222" s="12" t="s">
        <v>54</v>
      </c>
      <c r="M222" s="13">
        <v>45140</v>
      </c>
      <c r="N222" s="14">
        <v>449.95</v>
      </c>
    </row>
    <row r="223" spans="1:14" ht="15" thickBot="1" x14ac:dyDescent="0.4">
      <c r="A223" s="12" t="s">
        <v>395</v>
      </c>
      <c r="B223" s="13">
        <v>45712</v>
      </c>
      <c r="C223" s="12" t="s">
        <v>165</v>
      </c>
      <c r="D223" s="12" t="s">
        <v>166</v>
      </c>
      <c r="E223" s="12" t="s">
        <v>153</v>
      </c>
      <c r="F223" s="12" t="s">
        <v>154</v>
      </c>
      <c r="G223" s="12" t="s">
        <v>73</v>
      </c>
      <c r="H223" s="14">
        <v>2</v>
      </c>
      <c r="I223" s="14">
        <v>199.99</v>
      </c>
      <c r="J223" s="12" t="s">
        <v>47</v>
      </c>
      <c r="K223" s="12" t="s">
        <v>48</v>
      </c>
      <c r="L223" s="12" t="s">
        <v>54</v>
      </c>
      <c r="M223" s="13">
        <v>44573</v>
      </c>
      <c r="N223" s="14">
        <v>399.98</v>
      </c>
    </row>
    <row r="224" spans="1:14" ht="15" thickBot="1" x14ac:dyDescent="0.4">
      <c r="A224" s="12" t="s">
        <v>396</v>
      </c>
      <c r="B224" s="13">
        <v>45715</v>
      </c>
      <c r="C224" s="12" t="s">
        <v>286</v>
      </c>
      <c r="D224" s="12" t="s">
        <v>287</v>
      </c>
      <c r="E224" s="12" t="s">
        <v>58</v>
      </c>
      <c r="F224" s="12" t="s">
        <v>59</v>
      </c>
      <c r="G224" s="12" t="s">
        <v>60</v>
      </c>
      <c r="H224" s="14">
        <v>4</v>
      </c>
      <c r="I224" s="14">
        <v>59.99</v>
      </c>
      <c r="J224" s="12" t="s">
        <v>47</v>
      </c>
      <c r="K224" s="12" t="s">
        <v>77</v>
      </c>
      <c r="L224" s="12" t="s">
        <v>63</v>
      </c>
      <c r="M224" s="13">
        <v>45070</v>
      </c>
      <c r="N224" s="14">
        <v>239.96</v>
      </c>
    </row>
    <row r="225" spans="1:14" ht="15" thickBot="1" x14ac:dyDescent="0.4">
      <c r="A225" s="12" t="s">
        <v>397</v>
      </c>
      <c r="B225" s="13">
        <v>45715</v>
      </c>
      <c r="C225" s="12" t="s">
        <v>120</v>
      </c>
      <c r="D225" s="12" t="s">
        <v>121</v>
      </c>
      <c r="E225" s="12" t="s">
        <v>132</v>
      </c>
      <c r="F225" s="12" t="s">
        <v>133</v>
      </c>
      <c r="G225" s="12" t="s">
        <v>73</v>
      </c>
      <c r="H225" s="14">
        <v>2</v>
      </c>
      <c r="I225" s="14">
        <v>299.99</v>
      </c>
      <c r="J225" s="12" t="s">
        <v>61</v>
      </c>
      <c r="K225" s="12" t="s">
        <v>62</v>
      </c>
      <c r="L225" s="12" t="s">
        <v>49</v>
      </c>
      <c r="M225" s="13">
        <v>44576</v>
      </c>
      <c r="N225" s="14">
        <v>599.98</v>
      </c>
    </row>
    <row r="226" spans="1:14" ht="15" thickBot="1" x14ac:dyDescent="0.4">
      <c r="A226" s="12" t="s">
        <v>398</v>
      </c>
      <c r="B226" s="13">
        <v>45718</v>
      </c>
      <c r="C226" s="12" t="s">
        <v>82</v>
      </c>
      <c r="D226" s="12" t="s">
        <v>83</v>
      </c>
      <c r="E226" s="12" t="s">
        <v>71</v>
      </c>
      <c r="F226" s="12" t="s">
        <v>72</v>
      </c>
      <c r="G226" s="12" t="s">
        <v>73</v>
      </c>
      <c r="H226" s="14">
        <v>2</v>
      </c>
      <c r="I226" s="14">
        <v>149.99</v>
      </c>
      <c r="J226" s="12" t="s">
        <v>47</v>
      </c>
      <c r="K226" s="12" t="s">
        <v>48</v>
      </c>
      <c r="L226" s="12" t="s">
        <v>49</v>
      </c>
      <c r="M226" s="13">
        <v>45068</v>
      </c>
      <c r="N226" s="14">
        <v>299.98</v>
      </c>
    </row>
    <row r="227" spans="1:14" ht="15" thickBot="1" x14ac:dyDescent="0.4">
      <c r="A227" s="12" t="s">
        <v>399</v>
      </c>
      <c r="B227" s="13">
        <v>45720</v>
      </c>
      <c r="C227" s="12" t="s">
        <v>253</v>
      </c>
      <c r="D227" s="12" t="s">
        <v>254</v>
      </c>
      <c r="E227" s="12" t="s">
        <v>107</v>
      </c>
      <c r="F227" s="12" t="s">
        <v>108</v>
      </c>
      <c r="G227" s="12" t="s">
        <v>46</v>
      </c>
      <c r="H227" s="14">
        <v>5</v>
      </c>
      <c r="I227" s="14">
        <v>699.99</v>
      </c>
      <c r="J227" s="12" t="s">
        <v>84</v>
      </c>
      <c r="K227" s="12" t="s">
        <v>90</v>
      </c>
      <c r="L227" s="12" t="s">
        <v>54</v>
      </c>
      <c r="M227" s="13">
        <v>45161</v>
      </c>
      <c r="N227" s="14">
        <v>3499.95</v>
      </c>
    </row>
    <row r="228" spans="1:14" ht="15" thickBot="1" x14ac:dyDescent="0.4">
      <c r="A228" s="12" t="s">
        <v>400</v>
      </c>
      <c r="B228" s="13">
        <v>45721</v>
      </c>
      <c r="C228" s="12" t="s">
        <v>102</v>
      </c>
      <c r="D228" s="12" t="s">
        <v>103</v>
      </c>
      <c r="E228" s="12" t="s">
        <v>58</v>
      </c>
      <c r="F228" s="12" t="s">
        <v>59</v>
      </c>
      <c r="G228" s="12" t="s">
        <v>60</v>
      </c>
      <c r="H228" s="14">
        <v>5</v>
      </c>
      <c r="I228" s="14">
        <v>59.99</v>
      </c>
      <c r="J228" s="12" t="s">
        <v>47</v>
      </c>
      <c r="K228" s="12" t="s">
        <v>77</v>
      </c>
      <c r="L228" s="12" t="s">
        <v>54</v>
      </c>
      <c r="M228" s="13">
        <v>45291</v>
      </c>
      <c r="N228" s="14">
        <v>299.95</v>
      </c>
    </row>
    <row r="229" spans="1:14" ht="15" thickBot="1" x14ac:dyDescent="0.4">
      <c r="A229" s="12" t="s">
        <v>401</v>
      </c>
      <c r="B229" s="13">
        <v>45723</v>
      </c>
      <c r="C229" s="12" t="s">
        <v>42</v>
      </c>
      <c r="D229" s="12" t="s">
        <v>43</v>
      </c>
      <c r="E229" s="12" t="s">
        <v>144</v>
      </c>
      <c r="F229" s="12" t="s">
        <v>145</v>
      </c>
      <c r="G229" s="12" t="s">
        <v>46</v>
      </c>
      <c r="H229" s="14">
        <v>2</v>
      </c>
      <c r="I229" s="14">
        <v>89.99</v>
      </c>
      <c r="J229" s="12" t="s">
        <v>53</v>
      </c>
      <c r="K229" s="12" t="s">
        <v>77</v>
      </c>
      <c r="L229" s="12" t="s">
        <v>54</v>
      </c>
      <c r="M229" s="13">
        <v>45295</v>
      </c>
      <c r="N229" s="14">
        <v>179.98</v>
      </c>
    </row>
    <row r="230" spans="1:14" ht="15" thickBot="1" x14ac:dyDescent="0.4">
      <c r="A230" s="12" t="s">
        <v>402</v>
      </c>
      <c r="B230" s="13">
        <v>45723</v>
      </c>
      <c r="C230" s="12" t="s">
        <v>147</v>
      </c>
      <c r="D230" s="12" t="s">
        <v>148</v>
      </c>
      <c r="E230" s="12" t="s">
        <v>44</v>
      </c>
      <c r="F230" s="12" t="s">
        <v>45</v>
      </c>
      <c r="G230" s="12" t="s">
        <v>46</v>
      </c>
      <c r="H230" s="14">
        <v>5</v>
      </c>
      <c r="I230" s="14">
        <v>249.99</v>
      </c>
      <c r="J230" s="12" t="s">
        <v>47</v>
      </c>
      <c r="K230" s="12" t="s">
        <v>90</v>
      </c>
      <c r="L230" s="12" t="s">
        <v>63</v>
      </c>
      <c r="M230" s="13">
        <v>44540</v>
      </c>
      <c r="N230" s="14">
        <v>1249.95</v>
      </c>
    </row>
    <row r="231" spans="1:14" ht="15" thickBot="1" x14ac:dyDescent="0.4">
      <c r="A231" s="12" t="s">
        <v>403</v>
      </c>
      <c r="B231" s="13">
        <v>45724</v>
      </c>
      <c r="C231" s="12" t="s">
        <v>253</v>
      </c>
      <c r="D231" s="12" t="s">
        <v>254</v>
      </c>
      <c r="E231" s="12" t="s">
        <v>71</v>
      </c>
      <c r="F231" s="12" t="s">
        <v>72</v>
      </c>
      <c r="G231" s="12" t="s">
        <v>73</v>
      </c>
      <c r="H231" s="14">
        <v>2</v>
      </c>
      <c r="I231" s="14">
        <v>149.99</v>
      </c>
      <c r="J231" s="12" t="s">
        <v>61</v>
      </c>
      <c r="K231" s="12" t="s">
        <v>48</v>
      </c>
      <c r="L231" s="12" t="s">
        <v>54</v>
      </c>
      <c r="M231" s="13">
        <v>44632</v>
      </c>
      <c r="N231" s="14">
        <v>299.98</v>
      </c>
    </row>
    <row r="232" spans="1:14" ht="15" thickBot="1" x14ac:dyDescent="0.4">
      <c r="A232" s="12" t="s">
        <v>404</v>
      </c>
      <c r="B232" s="13">
        <v>45724</v>
      </c>
      <c r="C232" s="12" t="s">
        <v>171</v>
      </c>
      <c r="D232" s="12" t="s">
        <v>172</v>
      </c>
      <c r="E232" s="12" t="s">
        <v>88</v>
      </c>
      <c r="F232" s="12" t="s">
        <v>89</v>
      </c>
      <c r="G232" s="12" t="s">
        <v>46</v>
      </c>
      <c r="H232" s="14">
        <v>5</v>
      </c>
      <c r="I232" s="14">
        <v>899.99</v>
      </c>
      <c r="J232" s="12" t="s">
        <v>61</v>
      </c>
      <c r="K232" s="12" t="s">
        <v>90</v>
      </c>
      <c r="L232" s="12" t="s">
        <v>54</v>
      </c>
      <c r="M232" s="13">
        <v>45389</v>
      </c>
      <c r="N232" s="14">
        <v>4499.95</v>
      </c>
    </row>
    <row r="233" spans="1:14" ht="15" thickBot="1" x14ac:dyDescent="0.4">
      <c r="A233" s="12" t="s">
        <v>405</v>
      </c>
      <c r="B233" s="13">
        <v>45724</v>
      </c>
      <c r="C233" s="12" t="s">
        <v>82</v>
      </c>
      <c r="D233" s="12" t="s">
        <v>83</v>
      </c>
      <c r="E233" s="12" t="s">
        <v>71</v>
      </c>
      <c r="F233" s="12" t="s">
        <v>72</v>
      </c>
      <c r="G233" s="12" t="s">
        <v>73</v>
      </c>
      <c r="H233" s="14">
        <v>4</v>
      </c>
      <c r="I233" s="14">
        <v>149.99</v>
      </c>
      <c r="J233" s="12" t="s">
        <v>47</v>
      </c>
      <c r="K233" s="12" t="s">
        <v>48</v>
      </c>
      <c r="L233" s="12" t="s">
        <v>63</v>
      </c>
      <c r="M233" s="13">
        <v>45263</v>
      </c>
      <c r="N233" s="14">
        <v>599.96</v>
      </c>
    </row>
    <row r="234" spans="1:14" ht="15" thickBot="1" x14ac:dyDescent="0.4">
      <c r="A234" s="12" t="s">
        <v>406</v>
      </c>
      <c r="B234" s="13">
        <v>45726</v>
      </c>
      <c r="C234" s="12" t="s">
        <v>171</v>
      </c>
      <c r="D234" s="12" t="s">
        <v>172</v>
      </c>
      <c r="E234" s="12" t="s">
        <v>44</v>
      </c>
      <c r="F234" s="12" t="s">
        <v>45</v>
      </c>
      <c r="G234" s="12" t="s">
        <v>46</v>
      </c>
      <c r="H234" s="14">
        <v>1</v>
      </c>
      <c r="I234" s="14">
        <v>249.99</v>
      </c>
      <c r="J234" s="12" t="s">
        <v>47</v>
      </c>
      <c r="K234" s="12" t="s">
        <v>67</v>
      </c>
      <c r="L234" s="12" t="s">
        <v>63</v>
      </c>
      <c r="M234" s="13">
        <v>45117</v>
      </c>
      <c r="N234" s="14">
        <v>249.99</v>
      </c>
    </row>
    <row r="235" spans="1:14" ht="15" thickBot="1" x14ac:dyDescent="0.4">
      <c r="A235" s="12" t="s">
        <v>407</v>
      </c>
      <c r="B235" s="13">
        <v>45734</v>
      </c>
      <c r="C235" s="12" t="s">
        <v>219</v>
      </c>
      <c r="D235" s="12" t="s">
        <v>220</v>
      </c>
      <c r="E235" s="12" t="s">
        <v>58</v>
      </c>
      <c r="F235" s="12" t="s">
        <v>59</v>
      </c>
      <c r="G235" s="12" t="s">
        <v>60</v>
      </c>
      <c r="H235" s="14">
        <v>2</v>
      </c>
      <c r="I235" s="14">
        <v>59.99</v>
      </c>
      <c r="J235" s="12" t="s">
        <v>53</v>
      </c>
      <c r="K235" s="12" t="s">
        <v>77</v>
      </c>
      <c r="L235" s="12" t="s">
        <v>49</v>
      </c>
      <c r="M235" s="13">
        <v>45193</v>
      </c>
      <c r="N235" s="14">
        <v>119.98</v>
      </c>
    </row>
    <row r="236" spans="1:14" ht="15" thickBot="1" x14ac:dyDescent="0.4">
      <c r="A236" s="12" t="s">
        <v>408</v>
      </c>
      <c r="B236" s="13">
        <v>45737</v>
      </c>
      <c r="C236" s="12" t="s">
        <v>159</v>
      </c>
      <c r="D236" s="12" t="s">
        <v>160</v>
      </c>
      <c r="E236" s="12" t="s">
        <v>71</v>
      </c>
      <c r="F236" s="12" t="s">
        <v>72</v>
      </c>
      <c r="G236" s="12" t="s">
        <v>73</v>
      </c>
      <c r="H236" s="14">
        <v>2</v>
      </c>
      <c r="I236" s="14">
        <v>149.99</v>
      </c>
      <c r="J236" s="12" t="s">
        <v>47</v>
      </c>
      <c r="K236" s="12" t="s">
        <v>77</v>
      </c>
      <c r="L236" s="12" t="s">
        <v>54</v>
      </c>
      <c r="M236" s="13">
        <v>45233</v>
      </c>
      <c r="N236" s="14">
        <v>299.98</v>
      </c>
    </row>
    <row r="237" spans="1:14" ht="15" thickBot="1" x14ac:dyDescent="0.4">
      <c r="A237" s="12" t="s">
        <v>409</v>
      </c>
      <c r="B237" s="13">
        <v>45737</v>
      </c>
      <c r="C237" s="12" t="s">
        <v>177</v>
      </c>
      <c r="D237" s="12" t="s">
        <v>178</v>
      </c>
      <c r="E237" s="12" t="s">
        <v>88</v>
      </c>
      <c r="F237" s="12" t="s">
        <v>89</v>
      </c>
      <c r="G237" s="12" t="s">
        <v>46</v>
      </c>
      <c r="H237" s="14">
        <v>3</v>
      </c>
      <c r="I237" s="14">
        <v>899.99</v>
      </c>
      <c r="J237" s="12" t="s">
        <v>84</v>
      </c>
      <c r="K237" s="12" t="s">
        <v>67</v>
      </c>
      <c r="L237" s="12" t="s">
        <v>54</v>
      </c>
      <c r="M237" s="13">
        <v>44876</v>
      </c>
      <c r="N237" s="14">
        <v>2699.97</v>
      </c>
    </row>
    <row r="238" spans="1:14" ht="15" thickBot="1" x14ac:dyDescent="0.4">
      <c r="A238" s="12" t="s">
        <v>410</v>
      </c>
      <c r="B238" s="13">
        <v>45737</v>
      </c>
      <c r="C238" s="12" t="s">
        <v>75</v>
      </c>
      <c r="D238" s="12" t="s">
        <v>76</v>
      </c>
      <c r="E238" s="12" t="s">
        <v>88</v>
      </c>
      <c r="F238" s="12" t="s">
        <v>89</v>
      </c>
      <c r="G238" s="12" t="s">
        <v>46</v>
      </c>
      <c r="H238" s="14">
        <v>3</v>
      </c>
      <c r="I238" s="14">
        <v>899.99</v>
      </c>
      <c r="J238" s="12" t="s">
        <v>61</v>
      </c>
      <c r="K238" s="12" t="s">
        <v>67</v>
      </c>
      <c r="L238" s="12" t="s">
        <v>49</v>
      </c>
      <c r="M238" s="13">
        <v>44975</v>
      </c>
      <c r="N238" s="14">
        <v>2699.97</v>
      </c>
    </row>
    <row r="239" spans="1:14" ht="15" thickBot="1" x14ac:dyDescent="0.4">
      <c r="A239" s="12" t="s">
        <v>411</v>
      </c>
      <c r="B239" s="13">
        <v>45739</v>
      </c>
      <c r="C239" s="12" t="s">
        <v>42</v>
      </c>
      <c r="D239" s="12" t="s">
        <v>43</v>
      </c>
      <c r="E239" s="12" t="s">
        <v>132</v>
      </c>
      <c r="F239" s="12" t="s">
        <v>133</v>
      </c>
      <c r="G239" s="12" t="s">
        <v>73</v>
      </c>
      <c r="H239" s="14">
        <v>3</v>
      </c>
      <c r="I239" s="14">
        <v>299.99</v>
      </c>
      <c r="J239" s="12" t="s">
        <v>53</v>
      </c>
      <c r="K239" s="12" t="s">
        <v>77</v>
      </c>
      <c r="L239" s="12" t="s">
        <v>54</v>
      </c>
      <c r="M239" s="13">
        <v>45234</v>
      </c>
      <c r="N239" s="14">
        <v>899.97</v>
      </c>
    </row>
    <row r="240" spans="1:14" ht="15" thickBot="1" x14ac:dyDescent="0.4">
      <c r="A240" s="12" t="s">
        <v>412</v>
      </c>
      <c r="B240" s="13">
        <v>45740</v>
      </c>
      <c r="C240" s="12" t="s">
        <v>413</v>
      </c>
      <c r="D240" s="12" t="s">
        <v>414</v>
      </c>
      <c r="E240" s="12" t="s">
        <v>71</v>
      </c>
      <c r="F240" s="12" t="s">
        <v>72</v>
      </c>
      <c r="G240" s="12" t="s">
        <v>73</v>
      </c>
      <c r="H240" s="14">
        <v>4</v>
      </c>
      <c r="I240" s="14">
        <v>149.99</v>
      </c>
      <c r="J240" s="12" t="s">
        <v>61</v>
      </c>
      <c r="K240" s="12" t="s">
        <v>77</v>
      </c>
      <c r="L240" s="12" t="s">
        <v>63</v>
      </c>
      <c r="M240" s="13">
        <v>44560</v>
      </c>
      <c r="N240" s="14">
        <v>599.96</v>
      </c>
    </row>
    <row r="241" spans="1:14" ht="15" thickBot="1" x14ac:dyDescent="0.4">
      <c r="A241" s="12" t="s">
        <v>415</v>
      </c>
      <c r="B241" s="13">
        <v>45743</v>
      </c>
      <c r="C241" s="12" t="s">
        <v>129</v>
      </c>
      <c r="D241" s="12" t="s">
        <v>130</v>
      </c>
      <c r="E241" s="12" t="s">
        <v>141</v>
      </c>
      <c r="F241" s="12" t="s">
        <v>142</v>
      </c>
      <c r="G241" s="12" t="s">
        <v>60</v>
      </c>
      <c r="H241" s="14">
        <v>4</v>
      </c>
      <c r="I241" s="14">
        <v>79.989999999999995</v>
      </c>
      <c r="J241" s="12" t="s">
        <v>53</v>
      </c>
      <c r="K241" s="12" t="s">
        <v>48</v>
      </c>
      <c r="L241" s="12" t="s">
        <v>49</v>
      </c>
      <c r="M241" s="13">
        <v>45288</v>
      </c>
      <c r="N241" s="14">
        <v>319.95999999999998</v>
      </c>
    </row>
    <row r="242" spans="1:14" ht="15" thickBot="1" x14ac:dyDescent="0.4">
      <c r="A242" s="12" t="s">
        <v>416</v>
      </c>
      <c r="B242" s="13">
        <v>45745</v>
      </c>
      <c r="C242" s="12" t="s">
        <v>212</v>
      </c>
      <c r="D242" s="12" t="s">
        <v>213</v>
      </c>
      <c r="E242" s="12" t="s">
        <v>144</v>
      </c>
      <c r="F242" s="12" t="s">
        <v>145</v>
      </c>
      <c r="G242" s="12" t="s">
        <v>46</v>
      </c>
      <c r="H242" s="14">
        <v>5</v>
      </c>
      <c r="I242" s="14">
        <v>89.99</v>
      </c>
      <c r="J242" s="12" t="s">
        <v>61</v>
      </c>
      <c r="K242" s="12" t="s">
        <v>62</v>
      </c>
      <c r="L242" s="12" t="s">
        <v>49</v>
      </c>
      <c r="M242" s="13">
        <v>44704</v>
      </c>
      <c r="N242" s="14">
        <v>449.95</v>
      </c>
    </row>
    <row r="243" spans="1:14" ht="15" thickBot="1" x14ac:dyDescent="0.4">
      <c r="A243" s="12" t="s">
        <v>417</v>
      </c>
      <c r="B243" s="13">
        <v>45746</v>
      </c>
      <c r="C243" s="12" t="s">
        <v>120</v>
      </c>
      <c r="D243" s="12" t="s">
        <v>121</v>
      </c>
      <c r="E243" s="12" t="s">
        <v>71</v>
      </c>
      <c r="F243" s="12" t="s">
        <v>72</v>
      </c>
      <c r="G243" s="12" t="s">
        <v>73</v>
      </c>
      <c r="H243" s="14">
        <v>3</v>
      </c>
      <c r="I243" s="14">
        <v>149.99</v>
      </c>
      <c r="J243" s="12" t="s">
        <v>61</v>
      </c>
      <c r="K243" s="12" t="s">
        <v>48</v>
      </c>
      <c r="L243" s="12" t="s">
        <v>63</v>
      </c>
      <c r="M243" s="13">
        <v>45171</v>
      </c>
      <c r="N243" s="14">
        <v>449.97</v>
      </c>
    </row>
    <row r="244" spans="1:14" ht="15" thickBot="1" x14ac:dyDescent="0.4">
      <c r="A244" s="12" t="s">
        <v>418</v>
      </c>
      <c r="B244" s="13">
        <v>45746</v>
      </c>
      <c r="C244" s="12" t="s">
        <v>92</v>
      </c>
      <c r="D244" s="12" t="s">
        <v>93</v>
      </c>
      <c r="E244" s="12" t="s">
        <v>144</v>
      </c>
      <c r="F244" s="12" t="s">
        <v>145</v>
      </c>
      <c r="G244" s="12" t="s">
        <v>46</v>
      </c>
      <c r="H244" s="14">
        <v>2</v>
      </c>
      <c r="I244" s="14">
        <v>89.99</v>
      </c>
      <c r="J244" s="12" t="s">
        <v>84</v>
      </c>
      <c r="K244" s="12" t="s">
        <v>77</v>
      </c>
      <c r="L244" s="12" t="s">
        <v>54</v>
      </c>
      <c r="M244" s="13">
        <v>44522</v>
      </c>
      <c r="N244" s="14">
        <v>179.98</v>
      </c>
    </row>
    <row r="245" spans="1:14" ht="15" thickBot="1" x14ac:dyDescent="0.4">
      <c r="A245" s="12" t="s">
        <v>419</v>
      </c>
      <c r="B245" s="13">
        <v>45748</v>
      </c>
      <c r="C245" s="12" t="s">
        <v>129</v>
      </c>
      <c r="D245" s="12" t="s">
        <v>130</v>
      </c>
      <c r="E245" s="12" t="s">
        <v>107</v>
      </c>
      <c r="F245" s="12" t="s">
        <v>108</v>
      </c>
      <c r="G245" s="12" t="s">
        <v>46</v>
      </c>
      <c r="H245" s="14">
        <v>2</v>
      </c>
      <c r="I245" s="14">
        <v>699.99</v>
      </c>
      <c r="J245" s="12" t="s">
        <v>61</v>
      </c>
      <c r="K245" s="12" t="s">
        <v>67</v>
      </c>
      <c r="L245" s="12" t="s">
        <v>63</v>
      </c>
      <c r="M245" s="13">
        <v>44618</v>
      </c>
      <c r="N245" s="14">
        <v>1399.98</v>
      </c>
    </row>
    <row r="246" spans="1:14" ht="15" thickBot="1" x14ac:dyDescent="0.4">
      <c r="A246" s="12" t="s">
        <v>420</v>
      </c>
      <c r="B246" s="13">
        <v>45749</v>
      </c>
      <c r="C246" s="12" t="s">
        <v>150</v>
      </c>
      <c r="D246" s="12" t="s">
        <v>151</v>
      </c>
      <c r="E246" s="12" t="s">
        <v>88</v>
      </c>
      <c r="F246" s="12" t="s">
        <v>89</v>
      </c>
      <c r="G246" s="12" t="s">
        <v>46</v>
      </c>
      <c r="H246" s="14">
        <v>3</v>
      </c>
      <c r="I246" s="14">
        <v>899.99</v>
      </c>
      <c r="J246" s="12" t="s">
        <v>47</v>
      </c>
      <c r="K246" s="12" t="s">
        <v>48</v>
      </c>
      <c r="L246" s="12" t="s">
        <v>63</v>
      </c>
      <c r="M246" s="13">
        <v>44953</v>
      </c>
      <c r="N246" s="14">
        <v>2699.97</v>
      </c>
    </row>
    <row r="247" spans="1:14" ht="15" thickBot="1" x14ac:dyDescent="0.4">
      <c r="A247" s="12" t="s">
        <v>421</v>
      </c>
      <c r="B247" s="13">
        <v>45755</v>
      </c>
      <c r="C247" s="12" t="s">
        <v>120</v>
      </c>
      <c r="D247" s="12" t="s">
        <v>121</v>
      </c>
      <c r="E247" s="12" t="s">
        <v>141</v>
      </c>
      <c r="F247" s="12" t="s">
        <v>142</v>
      </c>
      <c r="G247" s="12" t="s">
        <v>60</v>
      </c>
      <c r="H247" s="14">
        <v>3</v>
      </c>
      <c r="I247" s="14">
        <v>79.989999999999995</v>
      </c>
      <c r="J247" s="12" t="s">
        <v>53</v>
      </c>
      <c r="K247" s="12" t="s">
        <v>67</v>
      </c>
      <c r="L247" s="12" t="s">
        <v>49</v>
      </c>
      <c r="M247" s="13">
        <v>44511</v>
      </c>
      <c r="N247" s="14">
        <v>239.97</v>
      </c>
    </row>
    <row r="248" spans="1:14" ht="15" thickBot="1" x14ac:dyDescent="0.4">
      <c r="A248" s="12" t="s">
        <v>422</v>
      </c>
      <c r="B248" s="13">
        <v>45756</v>
      </c>
      <c r="C248" s="12" t="s">
        <v>86</v>
      </c>
      <c r="D248" s="12" t="s">
        <v>87</v>
      </c>
      <c r="E248" s="12" t="s">
        <v>144</v>
      </c>
      <c r="F248" s="12" t="s">
        <v>145</v>
      </c>
      <c r="G248" s="12" t="s">
        <v>46</v>
      </c>
      <c r="H248" s="14">
        <v>1</v>
      </c>
      <c r="I248" s="14">
        <v>89.99</v>
      </c>
      <c r="J248" s="12" t="s">
        <v>84</v>
      </c>
      <c r="K248" s="12" t="s">
        <v>90</v>
      </c>
      <c r="L248" s="12" t="s">
        <v>49</v>
      </c>
      <c r="M248" s="13">
        <v>45346</v>
      </c>
      <c r="N248" s="14">
        <v>89.99</v>
      </c>
    </row>
    <row r="249" spans="1:14" ht="15" thickBot="1" x14ac:dyDescent="0.4">
      <c r="A249" s="12" t="s">
        <v>423</v>
      </c>
      <c r="B249" s="13">
        <v>45758</v>
      </c>
      <c r="C249" s="12" t="s">
        <v>320</v>
      </c>
      <c r="D249" s="12" t="s">
        <v>321</v>
      </c>
      <c r="E249" s="12" t="s">
        <v>107</v>
      </c>
      <c r="F249" s="12" t="s">
        <v>108</v>
      </c>
      <c r="G249" s="12" t="s">
        <v>46</v>
      </c>
      <c r="H249" s="14">
        <v>3</v>
      </c>
      <c r="I249" s="14">
        <v>699.99</v>
      </c>
      <c r="J249" s="12" t="s">
        <v>61</v>
      </c>
      <c r="K249" s="12" t="s">
        <v>67</v>
      </c>
      <c r="L249" s="12" t="s">
        <v>49</v>
      </c>
      <c r="M249" s="13">
        <v>44909</v>
      </c>
      <c r="N249" s="14">
        <v>2099.9699999999998</v>
      </c>
    </row>
    <row r="250" spans="1:14" ht="15" thickBot="1" x14ac:dyDescent="0.4">
      <c r="A250" s="12" t="s">
        <v>424</v>
      </c>
      <c r="B250" s="13">
        <v>45758</v>
      </c>
      <c r="C250" s="12" t="s">
        <v>253</v>
      </c>
      <c r="D250" s="12" t="s">
        <v>254</v>
      </c>
      <c r="E250" s="12" t="s">
        <v>144</v>
      </c>
      <c r="F250" s="12" t="s">
        <v>145</v>
      </c>
      <c r="G250" s="12" t="s">
        <v>46</v>
      </c>
      <c r="H250" s="14">
        <v>2</v>
      </c>
      <c r="I250" s="14">
        <v>89.99</v>
      </c>
      <c r="J250" s="12" t="s">
        <v>84</v>
      </c>
      <c r="K250" s="12" t="s">
        <v>90</v>
      </c>
      <c r="L250" s="12" t="s">
        <v>49</v>
      </c>
      <c r="M250" s="13">
        <v>45088</v>
      </c>
      <c r="N250" s="14">
        <v>179.98</v>
      </c>
    </row>
    <row r="251" spans="1:14" ht="15" thickBot="1" x14ac:dyDescent="0.4">
      <c r="A251" s="12" t="s">
        <v>425</v>
      </c>
      <c r="B251" s="13">
        <v>45758</v>
      </c>
      <c r="C251" s="12" t="s">
        <v>165</v>
      </c>
      <c r="D251" s="12" t="s">
        <v>166</v>
      </c>
      <c r="E251" s="12" t="s">
        <v>144</v>
      </c>
      <c r="F251" s="12" t="s">
        <v>145</v>
      </c>
      <c r="G251" s="12" t="s">
        <v>46</v>
      </c>
      <c r="H251" s="14">
        <v>3</v>
      </c>
      <c r="I251" s="14">
        <v>89.99</v>
      </c>
      <c r="J251" s="12" t="s">
        <v>84</v>
      </c>
      <c r="K251" s="12" t="s">
        <v>67</v>
      </c>
      <c r="L251" s="12" t="s">
        <v>54</v>
      </c>
      <c r="M251" s="13">
        <v>44878</v>
      </c>
      <c r="N251" s="14">
        <v>269.97000000000003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E3D65-2A95-4864-8240-E8A80956A001}">
  <dimension ref="B1:P254"/>
  <sheetViews>
    <sheetView zoomScaleNormal="100" workbookViewId="0">
      <selection activeCell="C5" sqref="C5"/>
    </sheetView>
  </sheetViews>
  <sheetFormatPr defaultRowHeight="14.5" x14ac:dyDescent="0.35"/>
  <cols>
    <col min="2" max="2" width="17.90625" customWidth="1"/>
    <col min="3" max="3" width="14.90625" customWidth="1"/>
    <col min="4" max="4" width="17.08984375" customWidth="1"/>
    <col min="5" max="5" width="19" customWidth="1"/>
    <col min="6" max="6" width="12.6328125" customWidth="1"/>
    <col min="7" max="7" width="15.54296875" customWidth="1"/>
    <col min="8" max="8" width="12.6328125" customWidth="1"/>
    <col min="9" max="9" width="11.08984375" customWidth="1"/>
    <col min="10" max="10" width="12.36328125" customWidth="1"/>
    <col min="11" max="11" width="18.1796875" customWidth="1"/>
    <col min="12" max="12" width="10.6328125" customWidth="1"/>
    <col min="13" max="13" width="19.453125" customWidth="1"/>
    <col min="14" max="14" width="16.453125" customWidth="1"/>
    <col min="15" max="15" width="15" customWidth="1"/>
    <col min="16" max="16" width="12.81640625" customWidth="1"/>
  </cols>
  <sheetData>
    <row r="1" spans="2:16" ht="14.4" customHeight="1" x14ac:dyDescent="0.35">
      <c r="B1" s="90" t="s">
        <v>426</v>
      </c>
      <c r="C1" s="90"/>
      <c r="D1" s="90"/>
      <c r="E1" s="90"/>
      <c r="F1" s="90"/>
      <c r="G1" s="90"/>
      <c r="H1" s="90"/>
      <c r="I1" s="90"/>
      <c r="J1" s="90"/>
      <c r="K1" s="90"/>
      <c r="L1" s="90"/>
      <c r="M1" s="90"/>
      <c r="N1" s="90"/>
      <c r="O1" s="90"/>
      <c r="P1" s="90"/>
    </row>
    <row r="2" spans="2:16" ht="14.4" customHeight="1" x14ac:dyDescent="0.35">
      <c r="B2" s="90"/>
      <c r="C2" s="90"/>
      <c r="D2" s="90"/>
      <c r="E2" s="90"/>
      <c r="F2" s="90"/>
      <c r="G2" s="90"/>
      <c r="H2" s="90"/>
      <c r="I2" s="90"/>
      <c r="J2" s="90"/>
      <c r="K2" s="90"/>
      <c r="L2" s="90"/>
      <c r="M2" s="90"/>
      <c r="N2" s="90"/>
      <c r="O2" s="90"/>
      <c r="P2" s="90"/>
    </row>
    <row r="4" spans="2:16" x14ac:dyDescent="0.35">
      <c r="B4" s="18" t="s">
        <v>27</v>
      </c>
      <c r="C4" s="19" t="s">
        <v>28</v>
      </c>
      <c r="D4" s="19" t="s">
        <v>29</v>
      </c>
      <c r="E4" s="19" t="s">
        <v>30</v>
      </c>
      <c r="F4" s="19" t="s">
        <v>31</v>
      </c>
      <c r="G4" s="19" t="s">
        <v>32</v>
      </c>
      <c r="H4" s="19" t="s">
        <v>33</v>
      </c>
      <c r="I4" s="19" t="s">
        <v>34</v>
      </c>
      <c r="J4" s="19" t="s">
        <v>35</v>
      </c>
      <c r="K4" s="19" t="s">
        <v>36</v>
      </c>
      <c r="L4" s="19" t="s">
        <v>37</v>
      </c>
      <c r="M4" s="19" t="s">
        <v>38</v>
      </c>
      <c r="N4" s="19" t="s">
        <v>39</v>
      </c>
      <c r="O4" s="20" t="s">
        <v>40</v>
      </c>
      <c r="P4" s="19" t="s">
        <v>493</v>
      </c>
    </row>
    <row r="5" spans="2:16" x14ac:dyDescent="0.35">
      <c r="B5" s="17" t="s">
        <v>41</v>
      </c>
      <c r="C5" s="16">
        <v>45393</v>
      </c>
      <c r="D5" s="15" t="s">
        <v>42</v>
      </c>
      <c r="E5" s="15" t="s">
        <v>43</v>
      </c>
      <c r="F5" s="15" t="s">
        <v>44</v>
      </c>
      <c r="G5" s="15" t="s">
        <v>45</v>
      </c>
      <c r="H5" s="15" t="s">
        <v>46</v>
      </c>
      <c r="I5" s="63">
        <v>3</v>
      </c>
      <c r="J5" s="65">
        <v>249.99</v>
      </c>
      <c r="K5" s="15" t="s">
        <v>47</v>
      </c>
      <c r="L5" s="15" t="s">
        <v>48</v>
      </c>
      <c r="M5" s="15" t="s">
        <v>49</v>
      </c>
      <c r="N5" s="16">
        <v>44425</v>
      </c>
      <c r="O5" s="61">
        <v>749.97</v>
      </c>
      <c r="P5" s="19" t="str">
        <f>TEXT(Table2[[#This Row],[Date]], "mm")</f>
        <v>04</v>
      </c>
    </row>
    <row r="6" spans="2:16" x14ac:dyDescent="0.35">
      <c r="B6" s="17" t="s">
        <v>50</v>
      </c>
      <c r="C6" s="16">
        <v>45396</v>
      </c>
      <c r="D6" s="15" t="s">
        <v>51</v>
      </c>
      <c r="E6" s="15" t="s">
        <v>52</v>
      </c>
      <c r="F6" s="15" t="s">
        <v>44</v>
      </c>
      <c r="G6" s="15" t="s">
        <v>45</v>
      </c>
      <c r="H6" s="15" t="s">
        <v>46</v>
      </c>
      <c r="I6" s="63">
        <v>3</v>
      </c>
      <c r="J6" s="65">
        <v>249.99</v>
      </c>
      <c r="K6" s="15" t="s">
        <v>53</v>
      </c>
      <c r="L6" s="15" t="s">
        <v>48</v>
      </c>
      <c r="M6" s="15" t="s">
        <v>54</v>
      </c>
      <c r="N6" s="16">
        <v>44575</v>
      </c>
      <c r="O6" s="61">
        <v>749.97</v>
      </c>
      <c r="P6" s="15" t="str">
        <f>TEXT(Table2[[#This Row],[Date]], "mm")</f>
        <v>04</v>
      </c>
    </row>
    <row r="7" spans="2:16" x14ac:dyDescent="0.35">
      <c r="B7" s="17" t="s">
        <v>55</v>
      </c>
      <c r="C7" s="16">
        <v>45399</v>
      </c>
      <c r="D7" s="15" t="s">
        <v>56</v>
      </c>
      <c r="E7" s="15" t="s">
        <v>57</v>
      </c>
      <c r="F7" s="15" t="s">
        <v>58</v>
      </c>
      <c r="G7" s="15" t="s">
        <v>59</v>
      </c>
      <c r="H7" s="15" t="s">
        <v>60</v>
      </c>
      <c r="I7" s="63">
        <v>3</v>
      </c>
      <c r="J7" s="65">
        <v>59.99</v>
      </c>
      <c r="K7" s="15" t="s">
        <v>61</v>
      </c>
      <c r="L7" s="15" t="s">
        <v>62</v>
      </c>
      <c r="M7" s="15" t="s">
        <v>63</v>
      </c>
      <c r="N7" s="16">
        <v>45262</v>
      </c>
      <c r="O7" s="61">
        <v>179.97</v>
      </c>
      <c r="P7" s="15" t="str">
        <f>TEXT(Table2[[#This Row],[Date]], "mm")</f>
        <v>04</v>
      </c>
    </row>
    <row r="8" spans="2:16" x14ac:dyDescent="0.35">
      <c r="B8" s="17" t="s">
        <v>64</v>
      </c>
      <c r="C8" s="16">
        <v>45400</v>
      </c>
      <c r="D8" s="15" t="s">
        <v>65</v>
      </c>
      <c r="E8" s="15" t="s">
        <v>66</v>
      </c>
      <c r="F8" s="15" t="s">
        <v>58</v>
      </c>
      <c r="G8" s="15" t="s">
        <v>59</v>
      </c>
      <c r="H8" s="15" t="s">
        <v>60</v>
      </c>
      <c r="I8" s="63">
        <v>3</v>
      </c>
      <c r="J8" s="65">
        <v>59.99</v>
      </c>
      <c r="K8" s="15" t="s">
        <v>47</v>
      </c>
      <c r="L8" s="15" t="s">
        <v>67</v>
      </c>
      <c r="M8" s="15" t="s">
        <v>54</v>
      </c>
      <c r="N8" s="16">
        <v>45114</v>
      </c>
      <c r="O8" s="61">
        <v>179.97</v>
      </c>
      <c r="P8" s="15" t="str">
        <f>TEXT(Table2[[#This Row],[Date]], "mm")</f>
        <v>04</v>
      </c>
    </row>
    <row r="9" spans="2:16" x14ac:dyDescent="0.35">
      <c r="B9" s="17" t="s">
        <v>68</v>
      </c>
      <c r="C9" s="16">
        <v>45400</v>
      </c>
      <c r="D9" s="15" t="s">
        <v>69</v>
      </c>
      <c r="E9" s="15" t="s">
        <v>70</v>
      </c>
      <c r="F9" s="15" t="s">
        <v>71</v>
      </c>
      <c r="G9" s="15" t="s">
        <v>72</v>
      </c>
      <c r="H9" s="15" t="s">
        <v>73</v>
      </c>
      <c r="I9" s="63">
        <v>5</v>
      </c>
      <c r="J9" s="65">
        <v>149.99</v>
      </c>
      <c r="K9" s="15" t="s">
        <v>53</v>
      </c>
      <c r="L9" s="15" t="s">
        <v>67</v>
      </c>
      <c r="M9" s="15" t="s">
        <v>54</v>
      </c>
      <c r="N9" s="16">
        <v>45295</v>
      </c>
      <c r="O9" s="61">
        <v>749.95</v>
      </c>
      <c r="P9" s="15" t="str">
        <f>TEXT(Table2[[#This Row],[Date]], "mm")</f>
        <v>04</v>
      </c>
    </row>
    <row r="10" spans="2:16" x14ac:dyDescent="0.35">
      <c r="B10" s="17" t="s">
        <v>74</v>
      </c>
      <c r="C10" s="16">
        <v>45403</v>
      </c>
      <c r="D10" s="15" t="s">
        <v>75</v>
      </c>
      <c r="E10" s="15" t="s">
        <v>76</v>
      </c>
      <c r="F10" s="15" t="s">
        <v>58</v>
      </c>
      <c r="G10" s="15" t="s">
        <v>59</v>
      </c>
      <c r="H10" s="15" t="s">
        <v>60</v>
      </c>
      <c r="I10" s="63">
        <v>2</v>
      </c>
      <c r="J10" s="65">
        <v>59.99</v>
      </c>
      <c r="K10" s="15" t="s">
        <v>47</v>
      </c>
      <c r="L10" s="15" t="s">
        <v>77</v>
      </c>
      <c r="M10" s="15" t="s">
        <v>63</v>
      </c>
      <c r="N10" s="16">
        <v>44746</v>
      </c>
      <c r="O10" s="61">
        <v>119.98</v>
      </c>
      <c r="P10" s="15" t="str">
        <f>TEXT(Table2[[#This Row],[Date]], "mm")</f>
        <v>04</v>
      </c>
    </row>
    <row r="11" spans="2:16" x14ac:dyDescent="0.35">
      <c r="B11" s="17" t="s">
        <v>78</v>
      </c>
      <c r="C11" s="16">
        <v>45403</v>
      </c>
      <c r="D11" s="15" t="s">
        <v>75</v>
      </c>
      <c r="E11" s="15" t="s">
        <v>76</v>
      </c>
      <c r="F11" s="15" t="s">
        <v>79</v>
      </c>
      <c r="G11" s="15" t="s">
        <v>80</v>
      </c>
      <c r="H11" s="15" t="s">
        <v>46</v>
      </c>
      <c r="I11" s="63">
        <v>5</v>
      </c>
      <c r="J11" s="65">
        <v>149.99</v>
      </c>
      <c r="K11" s="15" t="s">
        <v>53</v>
      </c>
      <c r="L11" s="15" t="s">
        <v>48</v>
      </c>
      <c r="M11" s="15" t="s">
        <v>63</v>
      </c>
      <c r="N11" s="16">
        <v>44418</v>
      </c>
      <c r="O11" s="61">
        <v>749.95</v>
      </c>
      <c r="P11" s="15" t="str">
        <f>TEXT(Table2[[#This Row],[Date]], "mm")</f>
        <v>04</v>
      </c>
    </row>
    <row r="12" spans="2:16" x14ac:dyDescent="0.35">
      <c r="B12" s="17" t="s">
        <v>81</v>
      </c>
      <c r="C12" s="16">
        <v>45403</v>
      </c>
      <c r="D12" s="15" t="s">
        <v>82</v>
      </c>
      <c r="E12" s="15" t="s">
        <v>83</v>
      </c>
      <c r="F12" s="15" t="s">
        <v>58</v>
      </c>
      <c r="G12" s="15" t="s">
        <v>59</v>
      </c>
      <c r="H12" s="15" t="s">
        <v>60</v>
      </c>
      <c r="I12" s="63">
        <v>3</v>
      </c>
      <c r="J12" s="65">
        <v>59.99</v>
      </c>
      <c r="K12" s="15" t="s">
        <v>84</v>
      </c>
      <c r="L12" s="15" t="s">
        <v>62</v>
      </c>
      <c r="M12" s="15" t="s">
        <v>49</v>
      </c>
      <c r="N12" s="16">
        <v>45007</v>
      </c>
      <c r="O12" s="61">
        <v>179.97</v>
      </c>
      <c r="P12" s="15" t="str">
        <f>TEXT(Table2[[#This Row],[Date]], "mm")</f>
        <v>04</v>
      </c>
    </row>
    <row r="13" spans="2:16" x14ac:dyDescent="0.35">
      <c r="B13" s="17" t="s">
        <v>85</v>
      </c>
      <c r="C13" s="16">
        <v>45405</v>
      </c>
      <c r="D13" s="15" t="s">
        <v>86</v>
      </c>
      <c r="E13" s="15" t="s">
        <v>87</v>
      </c>
      <c r="F13" s="15" t="s">
        <v>88</v>
      </c>
      <c r="G13" s="15" t="s">
        <v>89</v>
      </c>
      <c r="H13" s="15" t="s">
        <v>46</v>
      </c>
      <c r="I13" s="63">
        <v>3</v>
      </c>
      <c r="J13" s="65">
        <v>899.99</v>
      </c>
      <c r="K13" s="15" t="s">
        <v>61</v>
      </c>
      <c r="L13" s="15" t="s">
        <v>90</v>
      </c>
      <c r="M13" s="15" t="s">
        <v>63</v>
      </c>
      <c r="N13" s="16">
        <v>45299</v>
      </c>
      <c r="O13" s="61">
        <v>2699.97</v>
      </c>
      <c r="P13" s="15" t="str">
        <f>TEXT(Table2[[#This Row],[Date]], "mm")</f>
        <v>04</v>
      </c>
    </row>
    <row r="14" spans="2:16" x14ac:dyDescent="0.35">
      <c r="B14" s="17" t="s">
        <v>91</v>
      </c>
      <c r="C14" s="16">
        <v>45408</v>
      </c>
      <c r="D14" s="15" t="s">
        <v>92</v>
      </c>
      <c r="E14" s="15" t="s">
        <v>93</v>
      </c>
      <c r="F14" s="15" t="s">
        <v>58</v>
      </c>
      <c r="G14" s="15" t="s">
        <v>59</v>
      </c>
      <c r="H14" s="15" t="s">
        <v>60</v>
      </c>
      <c r="I14" s="63">
        <v>3</v>
      </c>
      <c r="J14" s="65">
        <v>59.99</v>
      </c>
      <c r="K14" s="15" t="s">
        <v>47</v>
      </c>
      <c r="L14" s="15" t="s">
        <v>77</v>
      </c>
      <c r="M14" s="15" t="s">
        <v>54</v>
      </c>
      <c r="N14" s="16">
        <v>45207</v>
      </c>
      <c r="O14" s="61">
        <v>179.97</v>
      </c>
      <c r="P14" s="15" t="str">
        <f>TEXT(Table2[[#This Row],[Date]], "mm")</f>
        <v>04</v>
      </c>
    </row>
    <row r="15" spans="2:16" x14ac:dyDescent="0.35">
      <c r="B15" s="17" t="s">
        <v>94</v>
      </c>
      <c r="C15" s="16">
        <v>45408</v>
      </c>
      <c r="D15" s="15" t="s">
        <v>95</v>
      </c>
      <c r="E15" s="15" t="s">
        <v>96</v>
      </c>
      <c r="F15" s="15" t="s">
        <v>71</v>
      </c>
      <c r="G15" s="15" t="s">
        <v>72</v>
      </c>
      <c r="H15" s="15" t="s">
        <v>73</v>
      </c>
      <c r="I15" s="63">
        <v>1</v>
      </c>
      <c r="J15" s="65">
        <v>149.99</v>
      </c>
      <c r="K15" s="15" t="s">
        <v>53</v>
      </c>
      <c r="L15" s="15" t="s">
        <v>77</v>
      </c>
      <c r="M15" s="15" t="s">
        <v>63</v>
      </c>
      <c r="N15" s="16">
        <v>45103</v>
      </c>
      <c r="O15" s="61">
        <v>149.99</v>
      </c>
      <c r="P15" s="15" t="str">
        <f>TEXT(Table2[[#This Row],[Date]], "mm")</f>
        <v>04</v>
      </c>
    </row>
    <row r="16" spans="2:16" x14ac:dyDescent="0.35">
      <c r="B16" s="17" t="s">
        <v>97</v>
      </c>
      <c r="C16" s="16">
        <v>45408</v>
      </c>
      <c r="D16" s="15" t="s">
        <v>65</v>
      </c>
      <c r="E16" s="15" t="s">
        <v>66</v>
      </c>
      <c r="F16" s="15" t="s">
        <v>71</v>
      </c>
      <c r="G16" s="15" t="s">
        <v>72</v>
      </c>
      <c r="H16" s="15" t="s">
        <v>73</v>
      </c>
      <c r="I16" s="63">
        <v>5</v>
      </c>
      <c r="J16" s="65">
        <v>149.99</v>
      </c>
      <c r="K16" s="15" t="s">
        <v>84</v>
      </c>
      <c r="L16" s="15" t="s">
        <v>67</v>
      </c>
      <c r="M16" s="15" t="s">
        <v>49</v>
      </c>
      <c r="N16" s="16">
        <v>44830</v>
      </c>
      <c r="O16" s="61">
        <v>749.95</v>
      </c>
      <c r="P16" s="15" t="str">
        <f>TEXT(Table2[[#This Row],[Date]], "mm")</f>
        <v>04</v>
      </c>
    </row>
    <row r="17" spans="2:16" x14ac:dyDescent="0.35">
      <c r="B17" s="17" t="s">
        <v>98</v>
      </c>
      <c r="C17" s="16">
        <v>45408</v>
      </c>
      <c r="D17" s="15" t="s">
        <v>99</v>
      </c>
      <c r="E17" s="15" t="s">
        <v>100</v>
      </c>
      <c r="F17" s="15" t="s">
        <v>71</v>
      </c>
      <c r="G17" s="15" t="s">
        <v>72</v>
      </c>
      <c r="H17" s="15" t="s">
        <v>73</v>
      </c>
      <c r="I17" s="63">
        <v>3</v>
      </c>
      <c r="J17" s="65">
        <v>149.99</v>
      </c>
      <c r="K17" s="15" t="s">
        <v>47</v>
      </c>
      <c r="L17" s="15" t="s">
        <v>67</v>
      </c>
      <c r="M17" s="15" t="s">
        <v>54</v>
      </c>
      <c r="N17" s="16">
        <v>44806</v>
      </c>
      <c r="O17" s="61">
        <v>449.97</v>
      </c>
      <c r="P17" s="15" t="str">
        <f>TEXT(Table2[[#This Row],[Date]], "mm")</f>
        <v>04</v>
      </c>
    </row>
    <row r="18" spans="2:16" x14ac:dyDescent="0.35">
      <c r="B18" s="17" t="s">
        <v>101</v>
      </c>
      <c r="C18" s="16">
        <v>45409</v>
      </c>
      <c r="D18" s="15" t="s">
        <v>102</v>
      </c>
      <c r="E18" s="15" t="s">
        <v>103</v>
      </c>
      <c r="F18" s="15" t="s">
        <v>58</v>
      </c>
      <c r="G18" s="15" t="s">
        <v>59</v>
      </c>
      <c r="H18" s="15" t="s">
        <v>60</v>
      </c>
      <c r="I18" s="63">
        <v>3</v>
      </c>
      <c r="J18" s="65">
        <v>59.99</v>
      </c>
      <c r="K18" s="15" t="s">
        <v>53</v>
      </c>
      <c r="L18" s="15" t="s">
        <v>67</v>
      </c>
      <c r="M18" s="15" t="s">
        <v>63</v>
      </c>
      <c r="N18" s="16">
        <v>45351</v>
      </c>
      <c r="O18" s="61">
        <v>179.97</v>
      </c>
      <c r="P18" s="15" t="str">
        <f>TEXT(Table2[[#This Row],[Date]], "mm")</f>
        <v>04</v>
      </c>
    </row>
    <row r="19" spans="2:16" x14ac:dyDescent="0.35">
      <c r="B19" s="17" t="s">
        <v>104</v>
      </c>
      <c r="C19" s="16">
        <v>45409</v>
      </c>
      <c r="D19" s="15" t="s">
        <v>105</v>
      </c>
      <c r="E19" s="15" t="s">
        <v>106</v>
      </c>
      <c r="F19" s="15" t="s">
        <v>107</v>
      </c>
      <c r="G19" s="15" t="s">
        <v>108</v>
      </c>
      <c r="H19" s="15" t="s">
        <v>46</v>
      </c>
      <c r="I19" s="63">
        <v>3</v>
      </c>
      <c r="J19" s="65">
        <v>699.99</v>
      </c>
      <c r="K19" s="15" t="s">
        <v>53</v>
      </c>
      <c r="L19" s="15" t="s">
        <v>77</v>
      </c>
      <c r="M19" s="15" t="s">
        <v>49</v>
      </c>
      <c r="N19" s="16">
        <v>44577</v>
      </c>
      <c r="O19" s="61">
        <v>2099.9699999999998</v>
      </c>
      <c r="P19" s="15" t="str">
        <f>TEXT(Table2[[#This Row],[Date]], "mm")</f>
        <v>04</v>
      </c>
    </row>
    <row r="20" spans="2:16" x14ac:dyDescent="0.35">
      <c r="B20" s="17" t="s">
        <v>109</v>
      </c>
      <c r="C20" s="16">
        <v>45409</v>
      </c>
      <c r="D20" s="15" t="s">
        <v>110</v>
      </c>
      <c r="E20" s="15" t="s">
        <v>111</v>
      </c>
      <c r="F20" s="15" t="s">
        <v>88</v>
      </c>
      <c r="G20" s="15" t="s">
        <v>89</v>
      </c>
      <c r="H20" s="15" t="s">
        <v>46</v>
      </c>
      <c r="I20" s="63">
        <v>1</v>
      </c>
      <c r="J20" s="65">
        <v>899.99</v>
      </c>
      <c r="K20" s="15" t="s">
        <v>84</v>
      </c>
      <c r="L20" s="15" t="s">
        <v>67</v>
      </c>
      <c r="M20" s="15" t="s">
        <v>63</v>
      </c>
      <c r="N20" s="16">
        <v>44920</v>
      </c>
      <c r="O20" s="61">
        <v>899.99</v>
      </c>
      <c r="P20" s="15" t="str">
        <f>TEXT(Table2[[#This Row],[Date]], "mm")</f>
        <v>04</v>
      </c>
    </row>
    <row r="21" spans="2:16" x14ac:dyDescent="0.35">
      <c r="B21" s="17" t="s">
        <v>112</v>
      </c>
      <c r="C21" s="16">
        <v>45410</v>
      </c>
      <c r="D21" s="15" t="s">
        <v>113</v>
      </c>
      <c r="E21" s="15" t="s">
        <v>114</v>
      </c>
      <c r="F21" s="15" t="s">
        <v>71</v>
      </c>
      <c r="G21" s="15" t="s">
        <v>72</v>
      </c>
      <c r="H21" s="15" t="s">
        <v>73</v>
      </c>
      <c r="I21" s="63">
        <v>4</v>
      </c>
      <c r="J21" s="65">
        <v>149.99</v>
      </c>
      <c r="K21" s="15" t="s">
        <v>84</v>
      </c>
      <c r="L21" s="15" t="s">
        <v>67</v>
      </c>
      <c r="M21" s="15" t="s">
        <v>54</v>
      </c>
      <c r="N21" s="16">
        <v>45374</v>
      </c>
      <c r="O21" s="61">
        <v>599.96</v>
      </c>
      <c r="P21" s="15" t="str">
        <f>TEXT(Table2[[#This Row],[Date]], "mm")</f>
        <v>04</v>
      </c>
    </row>
    <row r="22" spans="2:16" x14ac:dyDescent="0.35">
      <c r="B22" s="17" t="s">
        <v>115</v>
      </c>
      <c r="C22" s="16">
        <v>45410</v>
      </c>
      <c r="D22" s="15" t="s">
        <v>116</v>
      </c>
      <c r="E22" s="15" t="s">
        <v>117</v>
      </c>
      <c r="F22" s="15" t="s">
        <v>107</v>
      </c>
      <c r="G22" s="15" t="s">
        <v>108</v>
      </c>
      <c r="H22" s="15" t="s">
        <v>46</v>
      </c>
      <c r="I22" s="63">
        <v>2</v>
      </c>
      <c r="J22" s="65">
        <v>699.99</v>
      </c>
      <c r="K22" s="15" t="s">
        <v>47</v>
      </c>
      <c r="L22" s="15" t="s">
        <v>67</v>
      </c>
      <c r="M22" s="15" t="s">
        <v>49</v>
      </c>
      <c r="N22" s="16">
        <v>44781</v>
      </c>
      <c r="O22" s="61">
        <v>1399.98</v>
      </c>
      <c r="P22" s="15" t="str">
        <f>TEXT(Table2[[#This Row],[Date]], "mm")</f>
        <v>04</v>
      </c>
    </row>
    <row r="23" spans="2:16" x14ac:dyDescent="0.35">
      <c r="B23" s="17" t="s">
        <v>118</v>
      </c>
      <c r="C23" s="16">
        <v>45410</v>
      </c>
      <c r="D23" s="15" t="s">
        <v>113</v>
      </c>
      <c r="E23" s="15" t="s">
        <v>114</v>
      </c>
      <c r="F23" s="15" t="s">
        <v>88</v>
      </c>
      <c r="G23" s="15" t="s">
        <v>89</v>
      </c>
      <c r="H23" s="15" t="s">
        <v>46</v>
      </c>
      <c r="I23" s="63">
        <v>4</v>
      </c>
      <c r="J23" s="65">
        <v>899.99</v>
      </c>
      <c r="K23" s="15" t="s">
        <v>53</v>
      </c>
      <c r="L23" s="15" t="s">
        <v>77</v>
      </c>
      <c r="M23" s="15" t="s">
        <v>63</v>
      </c>
      <c r="N23" s="16">
        <v>45327</v>
      </c>
      <c r="O23" s="61">
        <v>3599.96</v>
      </c>
      <c r="P23" s="15" t="str">
        <f>TEXT(Table2[[#This Row],[Date]], "mm")</f>
        <v>04</v>
      </c>
    </row>
    <row r="24" spans="2:16" x14ac:dyDescent="0.35">
      <c r="B24" s="17" t="s">
        <v>119</v>
      </c>
      <c r="C24" s="16">
        <v>45410</v>
      </c>
      <c r="D24" s="15" t="s">
        <v>120</v>
      </c>
      <c r="E24" s="15" t="s">
        <v>121</v>
      </c>
      <c r="F24" s="15" t="s">
        <v>44</v>
      </c>
      <c r="G24" s="15" t="s">
        <v>45</v>
      </c>
      <c r="H24" s="15" t="s">
        <v>46</v>
      </c>
      <c r="I24" s="63">
        <v>3</v>
      </c>
      <c r="J24" s="65">
        <v>249.99</v>
      </c>
      <c r="K24" s="15" t="s">
        <v>53</v>
      </c>
      <c r="L24" s="15" t="s">
        <v>67</v>
      </c>
      <c r="M24" s="15" t="s">
        <v>54</v>
      </c>
      <c r="N24" s="16">
        <v>45224</v>
      </c>
      <c r="O24" s="61">
        <v>749.97</v>
      </c>
      <c r="P24" s="15" t="str">
        <f>TEXT(Table2[[#This Row],[Date]], "mm")</f>
        <v>04</v>
      </c>
    </row>
    <row r="25" spans="2:16" x14ac:dyDescent="0.35">
      <c r="B25" s="17" t="s">
        <v>122</v>
      </c>
      <c r="C25" s="16">
        <v>45412</v>
      </c>
      <c r="D25" s="15" t="s">
        <v>123</v>
      </c>
      <c r="E25" s="15" t="s">
        <v>124</v>
      </c>
      <c r="F25" s="15" t="s">
        <v>107</v>
      </c>
      <c r="G25" s="15" t="s">
        <v>108</v>
      </c>
      <c r="H25" s="15" t="s">
        <v>46</v>
      </c>
      <c r="I25" s="63">
        <v>5</v>
      </c>
      <c r="J25" s="65">
        <v>699.99</v>
      </c>
      <c r="K25" s="15" t="s">
        <v>47</v>
      </c>
      <c r="L25" s="15" t="s">
        <v>77</v>
      </c>
      <c r="M25" s="15" t="s">
        <v>49</v>
      </c>
      <c r="N25" s="16">
        <v>45167</v>
      </c>
      <c r="O25" s="61">
        <v>3499.95</v>
      </c>
      <c r="P25" s="15" t="str">
        <f>TEXT(Table2[[#This Row],[Date]], "mm")</f>
        <v>04</v>
      </c>
    </row>
    <row r="26" spans="2:16" x14ac:dyDescent="0.35">
      <c r="B26" s="17" t="s">
        <v>125</v>
      </c>
      <c r="C26" s="16">
        <v>45413</v>
      </c>
      <c r="D26" s="15" t="s">
        <v>126</v>
      </c>
      <c r="E26" s="15" t="s">
        <v>127</v>
      </c>
      <c r="F26" s="15" t="s">
        <v>107</v>
      </c>
      <c r="G26" s="15" t="s">
        <v>108</v>
      </c>
      <c r="H26" s="15" t="s">
        <v>46</v>
      </c>
      <c r="I26" s="63">
        <v>4</v>
      </c>
      <c r="J26" s="65">
        <v>699.99</v>
      </c>
      <c r="K26" s="15" t="s">
        <v>47</v>
      </c>
      <c r="L26" s="15" t="s">
        <v>90</v>
      </c>
      <c r="M26" s="15" t="s">
        <v>63</v>
      </c>
      <c r="N26" s="16">
        <v>44409</v>
      </c>
      <c r="O26" s="61">
        <v>2799.96</v>
      </c>
      <c r="P26" s="15" t="str">
        <f>TEXT(Table2[[#This Row],[Date]], "mm")</f>
        <v>05</v>
      </c>
    </row>
    <row r="27" spans="2:16" x14ac:dyDescent="0.35">
      <c r="B27" s="17" t="s">
        <v>128</v>
      </c>
      <c r="C27" s="16">
        <v>45415</v>
      </c>
      <c r="D27" s="15" t="s">
        <v>129</v>
      </c>
      <c r="E27" s="15" t="s">
        <v>130</v>
      </c>
      <c r="F27" s="15" t="s">
        <v>44</v>
      </c>
      <c r="G27" s="15" t="s">
        <v>45</v>
      </c>
      <c r="H27" s="15" t="s">
        <v>46</v>
      </c>
      <c r="I27" s="63">
        <v>4</v>
      </c>
      <c r="J27" s="65">
        <v>249.99</v>
      </c>
      <c r="K27" s="15" t="s">
        <v>61</v>
      </c>
      <c r="L27" s="15" t="s">
        <v>67</v>
      </c>
      <c r="M27" s="15" t="s">
        <v>63</v>
      </c>
      <c r="N27" s="16">
        <v>44468</v>
      </c>
      <c r="O27" s="61">
        <v>999.96</v>
      </c>
      <c r="P27" s="15" t="str">
        <f>TEXT(Table2[[#This Row],[Date]], "mm")</f>
        <v>05</v>
      </c>
    </row>
    <row r="28" spans="2:16" x14ac:dyDescent="0.35">
      <c r="B28" s="17" t="s">
        <v>131</v>
      </c>
      <c r="C28" s="16">
        <v>45416</v>
      </c>
      <c r="D28" s="15" t="s">
        <v>113</v>
      </c>
      <c r="E28" s="15" t="s">
        <v>114</v>
      </c>
      <c r="F28" s="15" t="s">
        <v>132</v>
      </c>
      <c r="G28" s="15" t="s">
        <v>133</v>
      </c>
      <c r="H28" s="15" t="s">
        <v>73</v>
      </c>
      <c r="I28" s="63">
        <v>4</v>
      </c>
      <c r="J28" s="65">
        <v>299.99</v>
      </c>
      <c r="K28" s="15" t="s">
        <v>47</v>
      </c>
      <c r="L28" s="15" t="s">
        <v>77</v>
      </c>
      <c r="M28" s="15" t="s">
        <v>54</v>
      </c>
      <c r="N28" s="16">
        <v>44716</v>
      </c>
      <c r="O28" s="61">
        <v>1199.96</v>
      </c>
      <c r="P28" s="15" t="str">
        <f>TEXT(Table2[[#This Row],[Date]], "mm")</f>
        <v>05</v>
      </c>
    </row>
    <row r="29" spans="2:16" x14ac:dyDescent="0.35">
      <c r="B29" s="17" t="s">
        <v>134</v>
      </c>
      <c r="C29" s="16">
        <v>45422</v>
      </c>
      <c r="D29" s="15" t="s">
        <v>135</v>
      </c>
      <c r="E29" s="15" t="s">
        <v>136</v>
      </c>
      <c r="F29" s="15" t="s">
        <v>44</v>
      </c>
      <c r="G29" s="15" t="s">
        <v>45</v>
      </c>
      <c r="H29" s="15" t="s">
        <v>46</v>
      </c>
      <c r="I29" s="63">
        <v>5</v>
      </c>
      <c r="J29" s="65">
        <v>249.99</v>
      </c>
      <c r="K29" s="15" t="s">
        <v>53</v>
      </c>
      <c r="L29" s="15" t="s">
        <v>77</v>
      </c>
      <c r="M29" s="15" t="s">
        <v>63</v>
      </c>
      <c r="N29" s="16">
        <v>44525</v>
      </c>
      <c r="O29" s="61">
        <v>1249.95</v>
      </c>
      <c r="P29" s="15" t="str">
        <f>TEXT(Table2[[#This Row],[Date]], "mm")</f>
        <v>05</v>
      </c>
    </row>
    <row r="30" spans="2:16" x14ac:dyDescent="0.35">
      <c r="B30" s="17" t="s">
        <v>137</v>
      </c>
      <c r="C30" s="16">
        <v>45424</v>
      </c>
      <c r="D30" s="15" t="s">
        <v>95</v>
      </c>
      <c r="E30" s="15" t="s">
        <v>96</v>
      </c>
      <c r="F30" s="15" t="s">
        <v>132</v>
      </c>
      <c r="G30" s="15" t="s">
        <v>133</v>
      </c>
      <c r="H30" s="15" t="s">
        <v>73</v>
      </c>
      <c r="I30" s="63">
        <v>5</v>
      </c>
      <c r="J30" s="65">
        <v>299.99</v>
      </c>
      <c r="K30" s="15" t="s">
        <v>61</v>
      </c>
      <c r="L30" s="15" t="s">
        <v>90</v>
      </c>
      <c r="M30" s="15" t="s">
        <v>49</v>
      </c>
      <c r="N30" s="16">
        <v>45168</v>
      </c>
      <c r="O30" s="61">
        <v>1499.95</v>
      </c>
      <c r="P30" s="15" t="str">
        <f>TEXT(Table2[[#This Row],[Date]], "mm")</f>
        <v>05</v>
      </c>
    </row>
    <row r="31" spans="2:16" x14ac:dyDescent="0.35">
      <c r="B31" s="17" t="s">
        <v>138</v>
      </c>
      <c r="C31" s="16">
        <v>45424</v>
      </c>
      <c r="D31" s="15" t="s">
        <v>139</v>
      </c>
      <c r="E31" s="15" t="s">
        <v>140</v>
      </c>
      <c r="F31" s="15" t="s">
        <v>141</v>
      </c>
      <c r="G31" s="15" t="s">
        <v>142</v>
      </c>
      <c r="H31" s="15" t="s">
        <v>60</v>
      </c>
      <c r="I31" s="63">
        <v>3</v>
      </c>
      <c r="J31" s="65">
        <v>79.989999999999995</v>
      </c>
      <c r="K31" s="15" t="s">
        <v>61</v>
      </c>
      <c r="L31" s="15" t="s">
        <v>90</v>
      </c>
      <c r="M31" s="15" t="s">
        <v>54</v>
      </c>
      <c r="N31" s="16">
        <v>45012</v>
      </c>
      <c r="O31" s="61">
        <v>239.97</v>
      </c>
      <c r="P31" s="15" t="str">
        <f>TEXT(Table2[[#This Row],[Date]], "mm")</f>
        <v>05</v>
      </c>
    </row>
    <row r="32" spans="2:16" x14ac:dyDescent="0.35">
      <c r="B32" s="17" t="s">
        <v>143</v>
      </c>
      <c r="C32" s="16">
        <v>45424</v>
      </c>
      <c r="D32" s="15" t="s">
        <v>126</v>
      </c>
      <c r="E32" s="15" t="s">
        <v>127</v>
      </c>
      <c r="F32" s="15" t="s">
        <v>144</v>
      </c>
      <c r="G32" s="15" t="s">
        <v>145</v>
      </c>
      <c r="H32" s="15" t="s">
        <v>46</v>
      </c>
      <c r="I32" s="63">
        <v>5</v>
      </c>
      <c r="J32" s="65">
        <v>89.99</v>
      </c>
      <c r="K32" s="15" t="s">
        <v>47</v>
      </c>
      <c r="L32" s="15" t="s">
        <v>67</v>
      </c>
      <c r="M32" s="15" t="s">
        <v>54</v>
      </c>
      <c r="N32" s="16">
        <v>44919</v>
      </c>
      <c r="O32" s="61">
        <v>449.95</v>
      </c>
      <c r="P32" s="15" t="str">
        <f>TEXT(Table2[[#This Row],[Date]], "mm")</f>
        <v>05</v>
      </c>
    </row>
    <row r="33" spans="2:16" x14ac:dyDescent="0.35">
      <c r="B33" s="17" t="s">
        <v>146</v>
      </c>
      <c r="C33" s="16">
        <v>45425</v>
      </c>
      <c r="D33" s="15" t="s">
        <v>147</v>
      </c>
      <c r="E33" s="15" t="s">
        <v>148</v>
      </c>
      <c r="F33" s="15" t="s">
        <v>58</v>
      </c>
      <c r="G33" s="15" t="s">
        <v>59</v>
      </c>
      <c r="H33" s="15" t="s">
        <v>60</v>
      </c>
      <c r="I33" s="63">
        <v>2</v>
      </c>
      <c r="J33" s="65">
        <v>59.99</v>
      </c>
      <c r="K33" s="15" t="s">
        <v>84</v>
      </c>
      <c r="L33" s="15" t="s">
        <v>48</v>
      </c>
      <c r="M33" s="15" t="s">
        <v>63</v>
      </c>
      <c r="N33" s="16">
        <v>45214</v>
      </c>
      <c r="O33" s="61">
        <v>119.98</v>
      </c>
      <c r="P33" s="15" t="str">
        <f>TEXT(Table2[[#This Row],[Date]], "mm")</f>
        <v>05</v>
      </c>
    </row>
    <row r="34" spans="2:16" x14ac:dyDescent="0.35">
      <c r="B34" s="17" t="s">
        <v>149</v>
      </c>
      <c r="C34" s="16">
        <v>45427</v>
      </c>
      <c r="D34" s="15" t="s">
        <v>150</v>
      </c>
      <c r="E34" s="15" t="s">
        <v>151</v>
      </c>
      <c r="F34" s="15" t="s">
        <v>58</v>
      </c>
      <c r="G34" s="15" t="s">
        <v>59</v>
      </c>
      <c r="H34" s="15" t="s">
        <v>60</v>
      </c>
      <c r="I34" s="63">
        <v>4</v>
      </c>
      <c r="J34" s="65">
        <v>59.99</v>
      </c>
      <c r="K34" s="15" t="s">
        <v>84</v>
      </c>
      <c r="L34" s="15" t="s">
        <v>90</v>
      </c>
      <c r="M34" s="15" t="s">
        <v>63</v>
      </c>
      <c r="N34" s="16">
        <v>44867</v>
      </c>
      <c r="O34" s="61">
        <v>239.96</v>
      </c>
      <c r="P34" s="15" t="str">
        <f>TEXT(Table2[[#This Row],[Date]], "mm")</f>
        <v>05</v>
      </c>
    </row>
    <row r="35" spans="2:16" x14ac:dyDescent="0.35">
      <c r="B35" s="17" t="s">
        <v>152</v>
      </c>
      <c r="C35" s="16">
        <v>45427</v>
      </c>
      <c r="D35" s="15" t="s">
        <v>82</v>
      </c>
      <c r="E35" s="15" t="s">
        <v>83</v>
      </c>
      <c r="F35" s="15" t="s">
        <v>153</v>
      </c>
      <c r="G35" s="15" t="s">
        <v>154</v>
      </c>
      <c r="H35" s="15" t="s">
        <v>73</v>
      </c>
      <c r="I35" s="63">
        <v>5</v>
      </c>
      <c r="J35" s="65">
        <v>199.99</v>
      </c>
      <c r="K35" s="15" t="s">
        <v>47</v>
      </c>
      <c r="L35" s="15" t="s">
        <v>62</v>
      </c>
      <c r="M35" s="15" t="s">
        <v>63</v>
      </c>
      <c r="N35" s="16">
        <v>44412</v>
      </c>
      <c r="O35" s="61">
        <v>999.95</v>
      </c>
      <c r="P35" s="15" t="str">
        <f>TEXT(Table2[[#This Row],[Date]], "mm")</f>
        <v>05</v>
      </c>
    </row>
    <row r="36" spans="2:16" x14ac:dyDescent="0.35">
      <c r="B36" s="17" t="s">
        <v>155</v>
      </c>
      <c r="C36" s="16">
        <v>45428</v>
      </c>
      <c r="D36" s="15" t="s">
        <v>156</v>
      </c>
      <c r="E36" s="15" t="s">
        <v>157</v>
      </c>
      <c r="F36" s="15" t="s">
        <v>71</v>
      </c>
      <c r="G36" s="15" t="s">
        <v>72</v>
      </c>
      <c r="H36" s="15" t="s">
        <v>73</v>
      </c>
      <c r="I36" s="63">
        <v>2</v>
      </c>
      <c r="J36" s="65">
        <v>149.99</v>
      </c>
      <c r="K36" s="15" t="s">
        <v>53</v>
      </c>
      <c r="L36" s="15" t="s">
        <v>77</v>
      </c>
      <c r="M36" s="15" t="s">
        <v>49</v>
      </c>
      <c r="N36" s="16">
        <v>44823</v>
      </c>
      <c r="O36" s="61">
        <v>299.98</v>
      </c>
      <c r="P36" s="15" t="str">
        <f>TEXT(Table2[[#This Row],[Date]], "mm")</f>
        <v>05</v>
      </c>
    </row>
    <row r="37" spans="2:16" x14ac:dyDescent="0.35">
      <c r="B37" s="17" t="s">
        <v>158</v>
      </c>
      <c r="C37" s="16">
        <v>45430</v>
      </c>
      <c r="D37" s="15" t="s">
        <v>159</v>
      </c>
      <c r="E37" s="15" t="s">
        <v>160</v>
      </c>
      <c r="F37" s="15" t="s">
        <v>71</v>
      </c>
      <c r="G37" s="15" t="s">
        <v>72</v>
      </c>
      <c r="H37" s="15" t="s">
        <v>73</v>
      </c>
      <c r="I37" s="63">
        <v>3</v>
      </c>
      <c r="J37" s="65">
        <v>149.99</v>
      </c>
      <c r="K37" s="15" t="s">
        <v>53</v>
      </c>
      <c r="L37" s="15" t="s">
        <v>77</v>
      </c>
      <c r="M37" s="15" t="s">
        <v>54</v>
      </c>
      <c r="N37" s="16">
        <v>45068</v>
      </c>
      <c r="O37" s="61">
        <v>449.97</v>
      </c>
      <c r="P37" s="15" t="str">
        <f>TEXT(Table2[[#This Row],[Date]], "mm")</f>
        <v>05</v>
      </c>
    </row>
    <row r="38" spans="2:16" x14ac:dyDescent="0.35">
      <c r="B38" s="17" t="s">
        <v>161</v>
      </c>
      <c r="C38" s="16">
        <v>45432</v>
      </c>
      <c r="D38" s="15" t="s">
        <v>56</v>
      </c>
      <c r="E38" s="15" t="s">
        <v>57</v>
      </c>
      <c r="F38" s="15" t="s">
        <v>88</v>
      </c>
      <c r="G38" s="15" t="s">
        <v>89</v>
      </c>
      <c r="H38" s="15" t="s">
        <v>46</v>
      </c>
      <c r="I38" s="63">
        <v>1</v>
      </c>
      <c r="J38" s="65">
        <v>899.99</v>
      </c>
      <c r="K38" s="15" t="s">
        <v>53</v>
      </c>
      <c r="L38" s="15" t="s">
        <v>77</v>
      </c>
      <c r="M38" s="15" t="s">
        <v>54</v>
      </c>
      <c r="N38" s="16">
        <v>44578</v>
      </c>
      <c r="O38" s="61">
        <v>899.99</v>
      </c>
      <c r="P38" s="15" t="str">
        <f>TEXT(Table2[[#This Row],[Date]], "mm")</f>
        <v>05</v>
      </c>
    </row>
    <row r="39" spans="2:16" x14ac:dyDescent="0.35">
      <c r="B39" s="17" t="s">
        <v>162</v>
      </c>
      <c r="C39" s="16">
        <v>45434</v>
      </c>
      <c r="D39" s="15" t="s">
        <v>126</v>
      </c>
      <c r="E39" s="15" t="s">
        <v>127</v>
      </c>
      <c r="F39" s="15" t="s">
        <v>132</v>
      </c>
      <c r="G39" s="15" t="s">
        <v>133</v>
      </c>
      <c r="H39" s="15" t="s">
        <v>73</v>
      </c>
      <c r="I39" s="63">
        <v>3</v>
      </c>
      <c r="J39" s="65">
        <v>299.99</v>
      </c>
      <c r="K39" s="15" t="s">
        <v>53</v>
      </c>
      <c r="L39" s="15" t="s">
        <v>90</v>
      </c>
      <c r="M39" s="15" t="s">
        <v>49</v>
      </c>
      <c r="N39" s="16">
        <v>44824</v>
      </c>
      <c r="O39" s="61">
        <v>899.97</v>
      </c>
      <c r="P39" s="15" t="str">
        <f>TEXT(Table2[[#This Row],[Date]], "mm")</f>
        <v>05</v>
      </c>
    </row>
    <row r="40" spans="2:16" x14ac:dyDescent="0.35">
      <c r="B40" s="17" t="s">
        <v>163</v>
      </c>
      <c r="C40" s="16">
        <v>45435</v>
      </c>
      <c r="D40" s="15" t="s">
        <v>156</v>
      </c>
      <c r="E40" s="15" t="s">
        <v>157</v>
      </c>
      <c r="F40" s="15" t="s">
        <v>141</v>
      </c>
      <c r="G40" s="15" t="s">
        <v>142</v>
      </c>
      <c r="H40" s="15" t="s">
        <v>60</v>
      </c>
      <c r="I40" s="63">
        <v>3</v>
      </c>
      <c r="J40" s="65">
        <v>79.989999999999995</v>
      </c>
      <c r="K40" s="15" t="s">
        <v>47</v>
      </c>
      <c r="L40" s="15" t="s">
        <v>62</v>
      </c>
      <c r="M40" s="15" t="s">
        <v>49</v>
      </c>
      <c r="N40" s="16">
        <v>45046</v>
      </c>
      <c r="O40" s="61">
        <v>239.97</v>
      </c>
      <c r="P40" s="15" t="str">
        <f>TEXT(Table2[[#This Row],[Date]], "mm")</f>
        <v>05</v>
      </c>
    </row>
    <row r="41" spans="2:16" x14ac:dyDescent="0.35">
      <c r="B41" s="17" t="s">
        <v>164</v>
      </c>
      <c r="C41" s="16">
        <v>45438</v>
      </c>
      <c r="D41" s="15" t="s">
        <v>165</v>
      </c>
      <c r="E41" s="15" t="s">
        <v>166</v>
      </c>
      <c r="F41" s="15" t="s">
        <v>153</v>
      </c>
      <c r="G41" s="15" t="s">
        <v>154</v>
      </c>
      <c r="H41" s="15" t="s">
        <v>73</v>
      </c>
      <c r="I41" s="63">
        <v>3</v>
      </c>
      <c r="J41" s="65">
        <v>199.99</v>
      </c>
      <c r="K41" s="15" t="s">
        <v>53</v>
      </c>
      <c r="L41" s="15" t="s">
        <v>67</v>
      </c>
      <c r="M41" s="15" t="s">
        <v>54</v>
      </c>
      <c r="N41" s="16">
        <v>45292</v>
      </c>
      <c r="O41" s="61">
        <v>599.97</v>
      </c>
      <c r="P41" s="15" t="str">
        <f>TEXT(Table2[[#This Row],[Date]], "mm")</f>
        <v>05</v>
      </c>
    </row>
    <row r="42" spans="2:16" x14ac:dyDescent="0.35">
      <c r="B42" s="17" t="s">
        <v>167</v>
      </c>
      <c r="C42" s="16">
        <v>45440</v>
      </c>
      <c r="D42" s="15" t="s">
        <v>168</v>
      </c>
      <c r="E42" s="15" t="s">
        <v>169</v>
      </c>
      <c r="F42" s="15" t="s">
        <v>107</v>
      </c>
      <c r="G42" s="15" t="s">
        <v>108</v>
      </c>
      <c r="H42" s="15" t="s">
        <v>46</v>
      </c>
      <c r="I42" s="63">
        <v>5</v>
      </c>
      <c r="J42" s="65">
        <v>699.99</v>
      </c>
      <c r="K42" s="15" t="s">
        <v>61</v>
      </c>
      <c r="L42" s="15" t="s">
        <v>77</v>
      </c>
      <c r="M42" s="15" t="s">
        <v>63</v>
      </c>
      <c r="N42" s="16">
        <v>44407</v>
      </c>
      <c r="O42" s="61">
        <v>3499.95</v>
      </c>
      <c r="P42" s="15" t="str">
        <f>TEXT(Table2[[#This Row],[Date]], "mm")</f>
        <v>05</v>
      </c>
    </row>
    <row r="43" spans="2:16" x14ac:dyDescent="0.35">
      <c r="B43" s="17" t="s">
        <v>170</v>
      </c>
      <c r="C43" s="16">
        <v>45441</v>
      </c>
      <c r="D43" s="15" t="s">
        <v>171</v>
      </c>
      <c r="E43" s="15" t="s">
        <v>172</v>
      </c>
      <c r="F43" s="15" t="s">
        <v>144</v>
      </c>
      <c r="G43" s="15" t="s">
        <v>145</v>
      </c>
      <c r="H43" s="15" t="s">
        <v>46</v>
      </c>
      <c r="I43" s="63">
        <v>3</v>
      </c>
      <c r="J43" s="65">
        <v>89.99</v>
      </c>
      <c r="K43" s="15" t="s">
        <v>61</v>
      </c>
      <c r="L43" s="15" t="s">
        <v>48</v>
      </c>
      <c r="M43" s="15" t="s">
        <v>54</v>
      </c>
      <c r="N43" s="16">
        <v>45120</v>
      </c>
      <c r="O43" s="61">
        <v>269.97000000000003</v>
      </c>
      <c r="P43" s="15" t="str">
        <f>TEXT(Table2[[#This Row],[Date]], "mm")</f>
        <v>05</v>
      </c>
    </row>
    <row r="44" spans="2:16" x14ac:dyDescent="0.35">
      <c r="B44" s="17" t="s">
        <v>173</v>
      </c>
      <c r="C44" s="16">
        <v>45443</v>
      </c>
      <c r="D44" s="15" t="s">
        <v>174</v>
      </c>
      <c r="E44" s="15" t="s">
        <v>175</v>
      </c>
      <c r="F44" s="15" t="s">
        <v>141</v>
      </c>
      <c r="G44" s="15" t="s">
        <v>142</v>
      </c>
      <c r="H44" s="15" t="s">
        <v>60</v>
      </c>
      <c r="I44" s="63">
        <v>1</v>
      </c>
      <c r="J44" s="65">
        <v>79.989999999999995</v>
      </c>
      <c r="K44" s="15" t="s">
        <v>47</v>
      </c>
      <c r="L44" s="15" t="s">
        <v>67</v>
      </c>
      <c r="M44" s="15" t="s">
        <v>63</v>
      </c>
      <c r="N44" s="16">
        <v>44917</v>
      </c>
      <c r="O44" s="61">
        <v>79.989999999999995</v>
      </c>
      <c r="P44" s="15" t="str">
        <f>TEXT(Table2[[#This Row],[Date]], "mm")</f>
        <v>05</v>
      </c>
    </row>
    <row r="45" spans="2:16" x14ac:dyDescent="0.35">
      <c r="B45" s="17" t="s">
        <v>176</v>
      </c>
      <c r="C45" s="16">
        <v>45444</v>
      </c>
      <c r="D45" s="15" t="s">
        <v>177</v>
      </c>
      <c r="E45" s="15" t="s">
        <v>178</v>
      </c>
      <c r="F45" s="15" t="s">
        <v>58</v>
      </c>
      <c r="G45" s="15" t="s">
        <v>59</v>
      </c>
      <c r="H45" s="15" t="s">
        <v>60</v>
      </c>
      <c r="I45" s="63">
        <v>2</v>
      </c>
      <c r="J45" s="65">
        <v>59.99</v>
      </c>
      <c r="K45" s="15" t="s">
        <v>47</v>
      </c>
      <c r="L45" s="15" t="s">
        <v>77</v>
      </c>
      <c r="M45" s="15" t="s">
        <v>49</v>
      </c>
      <c r="N45" s="16">
        <v>45390</v>
      </c>
      <c r="O45" s="61">
        <v>119.98</v>
      </c>
      <c r="P45" s="15" t="str">
        <f>TEXT(Table2[[#This Row],[Date]], "mm")</f>
        <v>06</v>
      </c>
    </row>
    <row r="46" spans="2:16" x14ac:dyDescent="0.35">
      <c r="B46" s="17" t="s">
        <v>179</v>
      </c>
      <c r="C46" s="16">
        <v>45444</v>
      </c>
      <c r="D46" s="15" t="s">
        <v>82</v>
      </c>
      <c r="E46" s="15" t="s">
        <v>83</v>
      </c>
      <c r="F46" s="15" t="s">
        <v>144</v>
      </c>
      <c r="G46" s="15" t="s">
        <v>145</v>
      </c>
      <c r="H46" s="15" t="s">
        <v>46</v>
      </c>
      <c r="I46" s="63">
        <v>1</v>
      </c>
      <c r="J46" s="65">
        <v>89.99</v>
      </c>
      <c r="K46" s="15" t="s">
        <v>47</v>
      </c>
      <c r="L46" s="15" t="s">
        <v>67</v>
      </c>
      <c r="M46" s="15" t="s">
        <v>49</v>
      </c>
      <c r="N46" s="16">
        <v>45141</v>
      </c>
      <c r="O46" s="61">
        <v>89.99</v>
      </c>
      <c r="P46" s="15" t="str">
        <f>TEXT(Table2[[#This Row],[Date]], "mm")</f>
        <v>06</v>
      </c>
    </row>
    <row r="47" spans="2:16" x14ac:dyDescent="0.35">
      <c r="B47" s="17" t="s">
        <v>180</v>
      </c>
      <c r="C47" s="16">
        <v>45446</v>
      </c>
      <c r="D47" s="15" t="s">
        <v>181</v>
      </c>
      <c r="E47" s="15" t="s">
        <v>182</v>
      </c>
      <c r="F47" s="15" t="s">
        <v>144</v>
      </c>
      <c r="G47" s="15" t="s">
        <v>145</v>
      </c>
      <c r="H47" s="15" t="s">
        <v>46</v>
      </c>
      <c r="I47" s="63">
        <v>5</v>
      </c>
      <c r="J47" s="65">
        <v>89.99</v>
      </c>
      <c r="K47" s="15" t="s">
        <v>53</v>
      </c>
      <c r="L47" s="15" t="s">
        <v>90</v>
      </c>
      <c r="M47" s="15" t="s">
        <v>63</v>
      </c>
      <c r="N47" s="16">
        <v>44587</v>
      </c>
      <c r="O47" s="61">
        <v>449.95</v>
      </c>
      <c r="P47" s="15" t="str">
        <f>TEXT(Table2[[#This Row],[Date]], "mm")</f>
        <v>06</v>
      </c>
    </row>
    <row r="48" spans="2:16" x14ac:dyDescent="0.35">
      <c r="B48" s="17" t="s">
        <v>183</v>
      </c>
      <c r="C48" s="16">
        <v>45449</v>
      </c>
      <c r="D48" s="15" t="s">
        <v>51</v>
      </c>
      <c r="E48" s="15" t="s">
        <v>52</v>
      </c>
      <c r="F48" s="15" t="s">
        <v>44</v>
      </c>
      <c r="G48" s="15" t="s">
        <v>45</v>
      </c>
      <c r="H48" s="15" t="s">
        <v>46</v>
      </c>
      <c r="I48" s="63">
        <v>5</v>
      </c>
      <c r="J48" s="65">
        <v>249.99</v>
      </c>
      <c r="K48" s="15" t="s">
        <v>53</v>
      </c>
      <c r="L48" s="15" t="s">
        <v>90</v>
      </c>
      <c r="M48" s="15" t="s">
        <v>63</v>
      </c>
      <c r="N48" s="16">
        <v>44707</v>
      </c>
      <c r="O48" s="61">
        <v>1249.95</v>
      </c>
      <c r="P48" s="15" t="str">
        <f>TEXT(Table2[[#This Row],[Date]], "mm")</f>
        <v>06</v>
      </c>
    </row>
    <row r="49" spans="2:16" x14ac:dyDescent="0.35">
      <c r="B49" s="17" t="s">
        <v>184</v>
      </c>
      <c r="C49" s="16">
        <v>45449</v>
      </c>
      <c r="D49" s="15" t="s">
        <v>185</v>
      </c>
      <c r="E49" s="15" t="s">
        <v>186</v>
      </c>
      <c r="F49" s="15" t="s">
        <v>144</v>
      </c>
      <c r="G49" s="15" t="s">
        <v>145</v>
      </c>
      <c r="H49" s="15" t="s">
        <v>46</v>
      </c>
      <c r="I49" s="63">
        <v>1</v>
      </c>
      <c r="J49" s="65">
        <v>89.99</v>
      </c>
      <c r="K49" s="15" t="s">
        <v>53</v>
      </c>
      <c r="L49" s="15" t="s">
        <v>62</v>
      </c>
      <c r="M49" s="15" t="s">
        <v>63</v>
      </c>
      <c r="N49" s="16">
        <v>44582</v>
      </c>
      <c r="O49" s="61">
        <v>89.99</v>
      </c>
      <c r="P49" s="15" t="str">
        <f>TEXT(Table2[[#This Row],[Date]], "mm")</f>
        <v>06</v>
      </c>
    </row>
    <row r="50" spans="2:16" x14ac:dyDescent="0.35">
      <c r="B50" s="17" t="s">
        <v>187</v>
      </c>
      <c r="C50" s="16">
        <v>45450</v>
      </c>
      <c r="D50" s="15" t="s">
        <v>69</v>
      </c>
      <c r="E50" s="15" t="s">
        <v>70</v>
      </c>
      <c r="F50" s="15" t="s">
        <v>71</v>
      </c>
      <c r="G50" s="15" t="s">
        <v>72</v>
      </c>
      <c r="H50" s="15" t="s">
        <v>73</v>
      </c>
      <c r="I50" s="63">
        <v>2</v>
      </c>
      <c r="J50" s="65">
        <v>149.99</v>
      </c>
      <c r="K50" s="15" t="s">
        <v>47</v>
      </c>
      <c r="L50" s="15" t="s">
        <v>90</v>
      </c>
      <c r="M50" s="15" t="s">
        <v>54</v>
      </c>
      <c r="N50" s="16">
        <v>44645</v>
      </c>
      <c r="O50" s="61">
        <v>299.98</v>
      </c>
      <c r="P50" s="15" t="str">
        <f>TEXT(Table2[[#This Row],[Date]], "mm")</f>
        <v>06</v>
      </c>
    </row>
    <row r="51" spans="2:16" x14ac:dyDescent="0.35">
      <c r="B51" s="17" t="s">
        <v>188</v>
      </c>
      <c r="C51" s="16">
        <v>45452</v>
      </c>
      <c r="D51" s="15" t="s">
        <v>189</v>
      </c>
      <c r="E51" s="15" t="s">
        <v>190</v>
      </c>
      <c r="F51" s="15" t="s">
        <v>58</v>
      </c>
      <c r="G51" s="15" t="s">
        <v>59</v>
      </c>
      <c r="H51" s="15" t="s">
        <v>60</v>
      </c>
      <c r="I51" s="63">
        <v>4</v>
      </c>
      <c r="J51" s="65">
        <v>59.99</v>
      </c>
      <c r="K51" s="15" t="s">
        <v>47</v>
      </c>
      <c r="L51" s="15" t="s">
        <v>90</v>
      </c>
      <c r="M51" s="15" t="s">
        <v>63</v>
      </c>
      <c r="N51" s="16">
        <v>44435</v>
      </c>
      <c r="O51" s="61">
        <v>239.96</v>
      </c>
      <c r="P51" s="15" t="str">
        <f>TEXT(Table2[[#This Row],[Date]], "mm")</f>
        <v>06</v>
      </c>
    </row>
    <row r="52" spans="2:16" x14ac:dyDescent="0.35">
      <c r="B52" s="17" t="s">
        <v>191</v>
      </c>
      <c r="C52" s="16">
        <v>45456</v>
      </c>
      <c r="D52" s="15" t="s">
        <v>156</v>
      </c>
      <c r="E52" s="15" t="s">
        <v>157</v>
      </c>
      <c r="F52" s="15" t="s">
        <v>144</v>
      </c>
      <c r="G52" s="15" t="s">
        <v>145</v>
      </c>
      <c r="H52" s="15" t="s">
        <v>46</v>
      </c>
      <c r="I52" s="63">
        <v>5</v>
      </c>
      <c r="J52" s="65">
        <v>89.99</v>
      </c>
      <c r="K52" s="15" t="s">
        <v>47</v>
      </c>
      <c r="L52" s="15" t="s">
        <v>48</v>
      </c>
      <c r="M52" s="15" t="s">
        <v>54</v>
      </c>
      <c r="N52" s="16">
        <v>44579</v>
      </c>
      <c r="O52" s="61">
        <v>449.95</v>
      </c>
      <c r="P52" s="15" t="str">
        <f>TEXT(Table2[[#This Row],[Date]], "mm")</f>
        <v>06</v>
      </c>
    </row>
    <row r="53" spans="2:16" x14ac:dyDescent="0.35">
      <c r="B53" s="17" t="s">
        <v>192</v>
      </c>
      <c r="C53" s="16">
        <v>45459</v>
      </c>
      <c r="D53" s="15" t="s">
        <v>126</v>
      </c>
      <c r="E53" s="15" t="s">
        <v>127</v>
      </c>
      <c r="F53" s="15" t="s">
        <v>144</v>
      </c>
      <c r="G53" s="15" t="s">
        <v>145</v>
      </c>
      <c r="H53" s="15" t="s">
        <v>46</v>
      </c>
      <c r="I53" s="63">
        <v>2</v>
      </c>
      <c r="J53" s="65">
        <v>89.99</v>
      </c>
      <c r="K53" s="15" t="s">
        <v>53</v>
      </c>
      <c r="L53" s="15" t="s">
        <v>62</v>
      </c>
      <c r="M53" s="15" t="s">
        <v>54</v>
      </c>
      <c r="N53" s="16">
        <v>44471</v>
      </c>
      <c r="O53" s="61">
        <v>179.98</v>
      </c>
      <c r="P53" s="15" t="str">
        <f>TEXT(Table2[[#This Row],[Date]], "mm")</f>
        <v>06</v>
      </c>
    </row>
    <row r="54" spans="2:16" x14ac:dyDescent="0.35">
      <c r="B54" s="17" t="s">
        <v>193</v>
      </c>
      <c r="C54" s="16">
        <v>45459</v>
      </c>
      <c r="D54" s="15" t="s">
        <v>42</v>
      </c>
      <c r="E54" s="15" t="s">
        <v>43</v>
      </c>
      <c r="F54" s="15" t="s">
        <v>88</v>
      </c>
      <c r="G54" s="15" t="s">
        <v>89</v>
      </c>
      <c r="H54" s="15" t="s">
        <v>46</v>
      </c>
      <c r="I54" s="63">
        <v>5</v>
      </c>
      <c r="J54" s="65">
        <v>899.99</v>
      </c>
      <c r="K54" s="15" t="s">
        <v>53</v>
      </c>
      <c r="L54" s="15" t="s">
        <v>62</v>
      </c>
      <c r="M54" s="15" t="s">
        <v>63</v>
      </c>
      <c r="N54" s="16">
        <v>44974</v>
      </c>
      <c r="O54" s="61">
        <v>4499.95</v>
      </c>
      <c r="P54" s="15" t="str">
        <f>TEXT(Table2[[#This Row],[Date]], "mm")</f>
        <v>06</v>
      </c>
    </row>
    <row r="55" spans="2:16" x14ac:dyDescent="0.35">
      <c r="B55" s="17" t="s">
        <v>194</v>
      </c>
      <c r="C55" s="16">
        <v>45459</v>
      </c>
      <c r="D55" s="15" t="s">
        <v>150</v>
      </c>
      <c r="E55" s="15" t="s">
        <v>151</v>
      </c>
      <c r="F55" s="15" t="s">
        <v>88</v>
      </c>
      <c r="G55" s="15" t="s">
        <v>89</v>
      </c>
      <c r="H55" s="15" t="s">
        <v>46</v>
      </c>
      <c r="I55" s="63">
        <v>5</v>
      </c>
      <c r="J55" s="65">
        <v>899.99</v>
      </c>
      <c r="K55" s="15" t="s">
        <v>61</v>
      </c>
      <c r="L55" s="15" t="s">
        <v>90</v>
      </c>
      <c r="M55" s="15" t="s">
        <v>54</v>
      </c>
      <c r="N55" s="16">
        <v>45278</v>
      </c>
      <c r="O55" s="61">
        <v>4499.95</v>
      </c>
      <c r="P55" s="15" t="str">
        <f>TEXT(Table2[[#This Row],[Date]], "mm")</f>
        <v>06</v>
      </c>
    </row>
    <row r="56" spans="2:16" x14ac:dyDescent="0.35">
      <c r="B56" s="17" t="s">
        <v>195</v>
      </c>
      <c r="C56" s="16">
        <v>45460</v>
      </c>
      <c r="D56" s="15" t="s">
        <v>185</v>
      </c>
      <c r="E56" s="15" t="s">
        <v>186</v>
      </c>
      <c r="F56" s="15" t="s">
        <v>58</v>
      </c>
      <c r="G56" s="15" t="s">
        <v>59</v>
      </c>
      <c r="H56" s="15" t="s">
        <v>60</v>
      </c>
      <c r="I56" s="63">
        <v>1</v>
      </c>
      <c r="J56" s="65">
        <v>59.99</v>
      </c>
      <c r="K56" s="15" t="s">
        <v>84</v>
      </c>
      <c r="L56" s="15" t="s">
        <v>77</v>
      </c>
      <c r="M56" s="15" t="s">
        <v>54</v>
      </c>
      <c r="N56" s="16">
        <v>45190</v>
      </c>
      <c r="O56" s="61">
        <v>59.99</v>
      </c>
      <c r="P56" s="15" t="str">
        <f>TEXT(Table2[[#This Row],[Date]], "mm")</f>
        <v>06</v>
      </c>
    </row>
    <row r="57" spans="2:16" x14ac:dyDescent="0.35">
      <c r="B57" s="17" t="s">
        <v>196</v>
      </c>
      <c r="C57" s="16">
        <v>45460</v>
      </c>
      <c r="D57" s="15" t="s">
        <v>168</v>
      </c>
      <c r="E57" s="15" t="s">
        <v>169</v>
      </c>
      <c r="F57" s="15" t="s">
        <v>132</v>
      </c>
      <c r="G57" s="15" t="s">
        <v>133</v>
      </c>
      <c r="H57" s="15" t="s">
        <v>73</v>
      </c>
      <c r="I57" s="63">
        <v>2</v>
      </c>
      <c r="J57" s="65">
        <v>299.99</v>
      </c>
      <c r="K57" s="15" t="s">
        <v>84</v>
      </c>
      <c r="L57" s="15" t="s">
        <v>90</v>
      </c>
      <c r="M57" s="15" t="s">
        <v>63</v>
      </c>
      <c r="N57" s="16">
        <v>45253</v>
      </c>
      <c r="O57" s="61">
        <v>599.98</v>
      </c>
      <c r="P57" s="15" t="str">
        <f>TEXT(Table2[[#This Row],[Date]], "mm")</f>
        <v>06</v>
      </c>
    </row>
    <row r="58" spans="2:16" x14ac:dyDescent="0.35">
      <c r="B58" s="17" t="s">
        <v>197</v>
      </c>
      <c r="C58" s="16">
        <v>45468</v>
      </c>
      <c r="D58" s="15" t="s">
        <v>198</v>
      </c>
      <c r="E58" s="15" t="s">
        <v>199</v>
      </c>
      <c r="F58" s="15" t="s">
        <v>144</v>
      </c>
      <c r="G58" s="15" t="s">
        <v>145</v>
      </c>
      <c r="H58" s="15" t="s">
        <v>46</v>
      </c>
      <c r="I58" s="63">
        <v>4</v>
      </c>
      <c r="J58" s="65">
        <v>89.99</v>
      </c>
      <c r="K58" s="15" t="s">
        <v>84</v>
      </c>
      <c r="L58" s="15" t="s">
        <v>62</v>
      </c>
      <c r="M58" s="15" t="s">
        <v>49</v>
      </c>
      <c r="N58" s="16">
        <v>45281</v>
      </c>
      <c r="O58" s="61">
        <v>359.96</v>
      </c>
      <c r="P58" s="15" t="str">
        <f>TEXT(Table2[[#This Row],[Date]], "mm")</f>
        <v>06</v>
      </c>
    </row>
    <row r="59" spans="2:16" x14ac:dyDescent="0.35">
      <c r="B59" s="17" t="s">
        <v>200</v>
      </c>
      <c r="C59" s="16">
        <v>45469</v>
      </c>
      <c r="D59" s="15" t="s">
        <v>56</v>
      </c>
      <c r="E59" s="15" t="s">
        <v>57</v>
      </c>
      <c r="F59" s="15" t="s">
        <v>141</v>
      </c>
      <c r="G59" s="15" t="s">
        <v>142</v>
      </c>
      <c r="H59" s="15" t="s">
        <v>60</v>
      </c>
      <c r="I59" s="63">
        <v>1</v>
      </c>
      <c r="J59" s="65">
        <v>79.989999999999995</v>
      </c>
      <c r="K59" s="15" t="s">
        <v>61</v>
      </c>
      <c r="L59" s="15" t="s">
        <v>48</v>
      </c>
      <c r="M59" s="15" t="s">
        <v>54</v>
      </c>
      <c r="N59" s="16">
        <v>45352</v>
      </c>
      <c r="O59" s="61">
        <v>79.989999999999995</v>
      </c>
      <c r="P59" s="15" t="str">
        <f>TEXT(Table2[[#This Row],[Date]], "mm")</f>
        <v>06</v>
      </c>
    </row>
    <row r="60" spans="2:16" x14ac:dyDescent="0.35">
      <c r="B60" s="17" t="s">
        <v>201</v>
      </c>
      <c r="C60" s="16">
        <v>45469</v>
      </c>
      <c r="D60" s="15" t="s">
        <v>86</v>
      </c>
      <c r="E60" s="15" t="s">
        <v>87</v>
      </c>
      <c r="F60" s="15" t="s">
        <v>144</v>
      </c>
      <c r="G60" s="15" t="s">
        <v>145</v>
      </c>
      <c r="H60" s="15" t="s">
        <v>46</v>
      </c>
      <c r="I60" s="63">
        <v>2</v>
      </c>
      <c r="J60" s="65">
        <v>89.99</v>
      </c>
      <c r="K60" s="15" t="s">
        <v>47</v>
      </c>
      <c r="L60" s="15" t="s">
        <v>77</v>
      </c>
      <c r="M60" s="15" t="s">
        <v>49</v>
      </c>
      <c r="N60" s="16">
        <v>44438</v>
      </c>
      <c r="O60" s="61">
        <v>179.98</v>
      </c>
      <c r="P60" s="15" t="str">
        <f>TEXT(Table2[[#This Row],[Date]], "mm")</f>
        <v>06</v>
      </c>
    </row>
    <row r="61" spans="2:16" x14ac:dyDescent="0.35">
      <c r="B61" s="17" t="s">
        <v>202</v>
      </c>
      <c r="C61" s="16">
        <v>45471</v>
      </c>
      <c r="D61" s="15" t="s">
        <v>65</v>
      </c>
      <c r="E61" s="15" t="s">
        <v>66</v>
      </c>
      <c r="F61" s="15" t="s">
        <v>107</v>
      </c>
      <c r="G61" s="15" t="s">
        <v>108</v>
      </c>
      <c r="H61" s="15" t="s">
        <v>46</v>
      </c>
      <c r="I61" s="63">
        <v>3</v>
      </c>
      <c r="J61" s="65">
        <v>699.99</v>
      </c>
      <c r="K61" s="15" t="s">
        <v>53</v>
      </c>
      <c r="L61" s="15" t="s">
        <v>90</v>
      </c>
      <c r="M61" s="15" t="s">
        <v>54</v>
      </c>
      <c r="N61" s="16">
        <v>45102</v>
      </c>
      <c r="O61" s="61">
        <v>2099.9699999999998</v>
      </c>
      <c r="P61" s="15" t="str">
        <f>TEXT(Table2[[#This Row],[Date]], "mm")</f>
        <v>06</v>
      </c>
    </row>
    <row r="62" spans="2:16" x14ac:dyDescent="0.35">
      <c r="B62" s="17" t="s">
        <v>203</v>
      </c>
      <c r="C62" s="16">
        <v>45471</v>
      </c>
      <c r="D62" s="15" t="s">
        <v>126</v>
      </c>
      <c r="E62" s="15" t="s">
        <v>127</v>
      </c>
      <c r="F62" s="15" t="s">
        <v>88</v>
      </c>
      <c r="G62" s="15" t="s">
        <v>89</v>
      </c>
      <c r="H62" s="15" t="s">
        <v>46</v>
      </c>
      <c r="I62" s="63">
        <v>4</v>
      </c>
      <c r="J62" s="65">
        <v>899.99</v>
      </c>
      <c r="K62" s="15" t="s">
        <v>53</v>
      </c>
      <c r="L62" s="15" t="s">
        <v>90</v>
      </c>
      <c r="M62" s="15" t="s">
        <v>54</v>
      </c>
      <c r="N62" s="16">
        <v>44993</v>
      </c>
      <c r="O62" s="61">
        <v>3599.96</v>
      </c>
      <c r="P62" s="15" t="str">
        <f>TEXT(Table2[[#This Row],[Date]], "mm")</f>
        <v>06</v>
      </c>
    </row>
    <row r="63" spans="2:16" x14ac:dyDescent="0.35">
      <c r="B63" s="17" t="s">
        <v>204</v>
      </c>
      <c r="C63" s="16">
        <v>45472</v>
      </c>
      <c r="D63" s="15" t="s">
        <v>147</v>
      </c>
      <c r="E63" s="15" t="s">
        <v>148</v>
      </c>
      <c r="F63" s="15" t="s">
        <v>71</v>
      </c>
      <c r="G63" s="15" t="s">
        <v>72</v>
      </c>
      <c r="H63" s="15" t="s">
        <v>73</v>
      </c>
      <c r="I63" s="63">
        <v>1</v>
      </c>
      <c r="J63" s="65">
        <v>149.99</v>
      </c>
      <c r="K63" s="15" t="s">
        <v>61</v>
      </c>
      <c r="L63" s="15" t="s">
        <v>90</v>
      </c>
      <c r="M63" s="15" t="s">
        <v>49</v>
      </c>
      <c r="N63" s="16">
        <v>44851</v>
      </c>
      <c r="O63" s="61">
        <v>149.99</v>
      </c>
      <c r="P63" s="15" t="str">
        <f>TEXT(Table2[[#This Row],[Date]], "mm")</f>
        <v>06</v>
      </c>
    </row>
    <row r="64" spans="2:16" x14ac:dyDescent="0.35">
      <c r="B64" s="17" t="s">
        <v>205</v>
      </c>
      <c r="C64" s="16">
        <v>45474</v>
      </c>
      <c r="D64" s="15" t="s">
        <v>159</v>
      </c>
      <c r="E64" s="15" t="s">
        <v>160</v>
      </c>
      <c r="F64" s="15" t="s">
        <v>144</v>
      </c>
      <c r="G64" s="15" t="s">
        <v>145</v>
      </c>
      <c r="H64" s="15" t="s">
        <v>46</v>
      </c>
      <c r="I64" s="63">
        <v>2</v>
      </c>
      <c r="J64" s="65">
        <v>89.99</v>
      </c>
      <c r="K64" s="15" t="s">
        <v>61</v>
      </c>
      <c r="L64" s="15" t="s">
        <v>48</v>
      </c>
      <c r="M64" s="15" t="s">
        <v>54</v>
      </c>
      <c r="N64" s="16">
        <v>45275</v>
      </c>
      <c r="O64" s="61">
        <v>179.98</v>
      </c>
      <c r="P64" s="15" t="str">
        <f>TEXT(Table2[[#This Row],[Date]], "mm")</f>
        <v>07</v>
      </c>
    </row>
    <row r="65" spans="2:16" x14ac:dyDescent="0.35">
      <c r="B65" s="17" t="s">
        <v>206</v>
      </c>
      <c r="C65" s="16">
        <v>45475</v>
      </c>
      <c r="D65" s="15" t="s">
        <v>82</v>
      </c>
      <c r="E65" s="15" t="s">
        <v>83</v>
      </c>
      <c r="F65" s="15" t="s">
        <v>144</v>
      </c>
      <c r="G65" s="15" t="s">
        <v>145</v>
      </c>
      <c r="H65" s="15" t="s">
        <v>46</v>
      </c>
      <c r="I65" s="63">
        <v>1</v>
      </c>
      <c r="J65" s="65">
        <v>89.99</v>
      </c>
      <c r="K65" s="15" t="s">
        <v>61</v>
      </c>
      <c r="L65" s="15" t="s">
        <v>77</v>
      </c>
      <c r="M65" s="15" t="s">
        <v>63</v>
      </c>
      <c r="N65" s="16">
        <v>44802</v>
      </c>
      <c r="O65" s="61">
        <v>89.99</v>
      </c>
      <c r="P65" s="15" t="str">
        <f>TEXT(Table2[[#This Row],[Date]], "mm")</f>
        <v>07</v>
      </c>
    </row>
    <row r="66" spans="2:16" x14ac:dyDescent="0.35">
      <c r="B66" s="17" t="s">
        <v>207</v>
      </c>
      <c r="C66" s="16">
        <v>45476</v>
      </c>
      <c r="D66" s="15" t="s">
        <v>95</v>
      </c>
      <c r="E66" s="15" t="s">
        <v>96</v>
      </c>
      <c r="F66" s="15" t="s">
        <v>144</v>
      </c>
      <c r="G66" s="15" t="s">
        <v>145</v>
      </c>
      <c r="H66" s="15" t="s">
        <v>46</v>
      </c>
      <c r="I66" s="63">
        <v>1</v>
      </c>
      <c r="J66" s="65">
        <v>89.99</v>
      </c>
      <c r="K66" s="15" t="s">
        <v>47</v>
      </c>
      <c r="L66" s="15" t="s">
        <v>62</v>
      </c>
      <c r="M66" s="15" t="s">
        <v>63</v>
      </c>
      <c r="N66" s="16">
        <v>44611</v>
      </c>
      <c r="O66" s="61">
        <v>89.99</v>
      </c>
      <c r="P66" s="15" t="str">
        <f>TEXT(Table2[[#This Row],[Date]], "mm")</f>
        <v>07</v>
      </c>
    </row>
    <row r="67" spans="2:16" x14ac:dyDescent="0.35">
      <c r="B67" s="17" t="s">
        <v>208</v>
      </c>
      <c r="C67" s="16">
        <v>45476</v>
      </c>
      <c r="D67" s="15" t="s">
        <v>209</v>
      </c>
      <c r="E67" s="15" t="s">
        <v>210</v>
      </c>
      <c r="F67" s="15" t="s">
        <v>141</v>
      </c>
      <c r="G67" s="15" t="s">
        <v>142</v>
      </c>
      <c r="H67" s="15" t="s">
        <v>60</v>
      </c>
      <c r="I67" s="63">
        <v>5</v>
      </c>
      <c r="J67" s="65">
        <v>79.989999999999995</v>
      </c>
      <c r="K67" s="15" t="s">
        <v>84</v>
      </c>
      <c r="L67" s="15" t="s">
        <v>48</v>
      </c>
      <c r="M67" s="15" t="s">
        <v>49</v>
      </c>
      <c r="N67" s="16">
        <v>44981</v>
      </c>
      <c r="O67" s="61">
        <v>399.95</v>
      </c>
      <c r="P67" s="15" t="str">
        <f>TEXT(Table2[[#This Row],[Date]], "mm")</f>
        <v>07</v>
      </c>
    </row>
    <row r="68" spans="2:16" x14ac:dyDescent="0.35">
      <c r="B68" s="17" t="s">
        <v>211</v>
      </c>
      <c r="C68" s="16">
        <v>45481</v>
      </c>
      <c r="D68" s="15" t="s">
        <v>212</v>
      </c>
      <c r="E68" s="15" t="s">
        <v>213</v>
      </c>
      <c r="F68" s="15" t="s">
        <v>71</v>
      </c>
      <c r="G68" s="15" t="s">
        <v>72</v>
      </c>
      <c r="H68" s="15" t="s">
        <v>73</v>
      </c>
      <c r="I68" s="63">
        <v>1</v>
      </c>
      <c r="J68" s="65">
        <v>149.99</v>
      </c>
      <c r="K68" s="15" t="s">
        <v>61</v>
      </c>
      <c r="L68" s="15" t="s">
        <v>67</v>
      </c>
      <c r="M68" s="15" t="s">
        <v>49</v>
      </c>
      <c r="N68" s="16">
        <v>44421</v>
      </c>
      <c r="O68" s="61">
        <v>149.99</v>
      </c>
      <c r="P68" s="15" t="str">
        <f>TEXT(Table2[[#This Row],[Date]], "mm")</f>
        <v>07</v>
      </c>
    </row>
    <row r="69" spans="2:16" x14ac:dyDescent="0.35">
      <c r="B69" s="17" t="s">
        <v>214</v>
      </c>
      <c r="C69" s="16">
        <v>45481</v>
      </c>
      <c r="D69" s="15" t="s">
        <v>69</v>
      </c>
      <c r="E69" s="15" t="s">
        <v>70</v>
      </c>
      <c r="F69" s="15" t="s">
        <v>107</v>
      </c>
      <c r="G69" s="15" t="s">
        <v>108</v>
      </c>
      <c r="H69" s="15" t="s">
        <v>46</v>
      </c>
      <c r="I69" s="63">
        <v>2</v>
      </c>
      <c r="J69" s="65">
        <v>699.99</v>
      </c>
      <c r="K69" s="15" t="s">
        <v>61</v>
      </c>
      <c r="L69" s="15" t="s">
        <v>90</v>
      </c>
      <c r="M69" s="15" t="s">
        <v>54</v>
      </c>
      <c r="N69" s="16">
        <v>45389</v>
      </c>
      <c r="O69" s="61">
        <v>1399.98</v>
      </c>
      <c r="P69" s="15" t="str">
        <f>TEXT(Table2[[#This Row],[Date]], "mm")</f>
        <v>07</v>
      </c>
    </row>
    <row r="70" spans="2:16" x14ac:dyDescent="0.35">
      <c r="B70" s="17" t="s">
        <v>215</v>
      </c>
      <c r="C70" s="16">
        <v>45481</v>
      </c>
      <c r="D70" s="15" t="s">
        <v>123</v>
      </c>
      <c r="E70" s="15" t="s">
        <v>124</v>
      </c>
      <c r="F70" s="15" t="s">
        <v>144</v>
      </c>
      <c r="G70" s="15" t="s">
        <v>145</v>
      </c>
      <c r="H70" s="15" t="s">
        <v>46</v>
      </c>
      <c r="I70" s="63">
        <v>5</v>
      </c>
      <c r="J70" s="65">
        <v>89.99</v>
      </c>
      <c r="K70" s="15" t="s">
        <v>84</v>
      </c>
      <c r="L70" s="15" t="s">
        <v>67</v>
      </c>
      <c r="M70" s="15" t="s">
        <v>54</v>
      </c>
      <c r="N70" s="16">
        <v>45161</v>
      </c>
      <c r="O70" s="61">
        <v>449.95</v>
      </c>
      <c r="P70" s="15" t="str">
        <f>TEXT(Table2[[#This Row],[Date]], "mm")</f>
        <v>07</v>
      </c>
    </row>
    <row r="71" spans="2:16" x14ac:dyDescent="0.35">
      <c r="B71" s="17" t="s">
        <v>216</v>
      </c>
      <c r="C71" s="16">
        <v>45482</v>
      </c>
      <c r="D71" s="15" t="s">
        <v>198</v>
      </c>
      <c r="E71" s="15" t="s">
        <v>199</v>
      </c>
      <c r="F71" s="15" t="s">
        <v>58</v>
      </c>
      <c r="G71" s="15" t="s">
        <v>59</v>
      </c>
      <c r="H71" s="15" t="s">
        <v>60</v>
      </c>
      <c r="I71" s="63">
        <v>4</v>
      </c>
      <c r="J71" s="65">
        <v>59.99</v>
      </c>
      <c r="K71" s="15" t="s">
        <v>47</v>
      </c>
      <c r="L71" s="15" t="s">
        <v>62</v>
      </c>
      <c r="M71" s="15" t="s">
        <v>63</v>
      </c>
      <c r="N71" s="16">
        <v>44509</v>
      </c>
      <c r="O71" s="61">
        <v>239.96</v>
      </c>
      <c r="P71" s="15" t="str">
        <f>TEXT(Table2[[#This Row],[Date]], "mm")</f>
        <v>07</v>
      </c>
    </row>
    <row r="72" spans="2:16" x14ac:dyDescent="0.35">
      <c r="B72" s="17" t="s">
        <v>217</v>
      </c>
      <c r="C72" s="16">
        <v>45484</v>
      </c>
      <c r="D72" s="15" t="s">
        <v>51</v>
      </c>
      <c r="E72" s="15" t="s">
        <v>52</v>
      </c>
      <c r="F72" s="15" t="s">
        <v>79</v>
      </c>
      <c r="G72" s="15" t="s">
        <v>80</v>
      </c>
      <c r="H72" s="15" t="s">
        <v>46</v>
      </c>
      <c r="I72" s="63">
        <v>1</v>
      </c>
      <c r="J72" s="65">
        <v>149.99</v>
      </c>
      <c r="K72" s="15" t="s">
        <v>47</v>
      </c>
      <c r="L72" s="15" t="s">
        <v>48</v>
      </c>
      <c r="M72" s="15" t="s">
        <v>63</v>
      </c>
      <c r="N72" s="16">
        <v>44909</v>
      </c>
      <c r="O72" s="61">
        <v>149.99</v>
      </c>
      <c r="P72" s="15" t="str">
        <f>TEXT(Table2[[#This Row],[Date]], "mm")</f>
        <v>07</v>
      </c>
    </row>
    <row r="73" spans="2:16" x14ac:dyDescent="0.35">
      <c r="B73" s="17" t="s">
        <v>218</v>
      </c>
      <c r="C73" s="16">
        <v>45484</v>
      </c>
      <c r="D73" s="15" t="s">
        <v>219</v>
      </c>
      <c r="E73" s="15" t="s">
        <v>220</v>
      </c>
      <c r="F73" s="15" t="s">
        <v>132</v>
      </c>
      <c r="G73" s="15" t="s">
        <v>133</v>
      </c>
      <c r="H73" s="15" t="s">
        <v>73</v>
      </c>
      <c r="I73" s="63">
        <v>1</v>
      </c>
      <c r="J73" s="65">
        <v>299.99</v>
      </c>
      <c r="K73" s="15" t="s">
        <v>53</v>
      </c>
      <c r="L73" s="15" t="s">
        <v>67</v>
      </c>
      <c r="M73" s="15" t="s">
        <v>54</v>
      </c>
      <c r="N73" s="16">
        <v>44891</v>
      </c>
      <c r="O73" s="61">
        <v>299.99</v>
      </c>
      <c r="P73" s="15" t="str">
        <f>TEXT(Table2[[#This Row],[Date]], "mm")</f>
        <v>07</v>
      </c>
    </row>
    <row r="74" spans="2:16" x14ac:dyDescent="0.35">
      <c r="B74" s="17" t="s">
        <v>221</v>
      </c>
      <c r="C74" s="16">
        <v>45487</v>
      </c>
      <c r="D74" s="15" t="s">
        <v>219</v>
      </c>
      <c r="E74" s="15" t="s">
        <v>220</v>
      </c>
      <c r="F74" s="15" t="s">
        <v>153</v>
      </c>
      <c r="G74" s="15" t="s">
        <v>154</v>
      </c>
      <c r="H74" s="15" t="s">
        <v>73</v>
      </c>
      <c r="I74" s="63">
        <v>2</v>
      </c>
      <c r="J74" s="65">
        <v>199.99</v>
      </c>
      <c r="K74" s="15" t="s">
        <v>47</v>
      </c>
      <c r="L74" s="15" t="s">
        <v>67</v>
      </c>
      <c r="M74" s="15" t="s">
        <v>49</v>
      </c>
      <c r="N74" s="16">
        <v>44541</v>
      </c>
      <c r="O74" s="61">
        <v>399.98</v>
      </c>
      <c r="P74" s="15" t="str">
        <f>TEXT(Table2[[#This Row],[Date]], "mm")</f>
        <v>07</v>
      </c>
    </row>
    <row r="75" spans="2:16" x14ac:dyDescent="0.35">
      <c r="B75" s="17" t="s">
        <v>222</v>
      </c>
      <c r="C75" s="16">
        <v>45490</v>
      </c>
      <c r="D75" s="15" t="s">
        <v>223</v>
      </c>
      <c r="E75" s="15" t="s">
        <v>224</v>
      </c>
      <c r="F75" s="15" t="s">
        <v>58</v>
      </c>
      <c r="G75" s="15" t="s">
        <v>59</v>
      </c>
      <c r="H75" s="15" t="s">
        <v>60</v>
      </c>
      <c r="I75" s="63">
        <v>3</v>
      </c>
      <c r="J75" s="65">
        <v>59.99</v>
      </c>
      <c r="K75" s="15" t="s">
        <v>53</v>
      </c>
      <c r="L75" s="15" t="s">
        <v>77</v>
      </c>
      <c r="M75" s="15" t="s">
        <v>49</v>
      </c>
      <c r="N75" s="16">
        <v>45130</v>
      </c>
      <c r="O75" s="61">
        <v>179.97</v>
      </c>
      <c r="P75" s="15" t="str">
        <f>TEXT(Table2[[#This Row],[Date]], "mm")</f>
        <v>07</v>
      </c>
    </row>
    <row r="76" spans="2:16" x14ac:dyDescent="0.35">
      <c r="B76" s="17" t="s">
        <v>225</v>
      </c>
      <c r="C76" s="16">
        <v>45490</v>
      </c>
      <c r="D76" s="15" t="s">
        <v>99</v>
      </c>
      <c r="E76" s="15" t="s">
        <v>100</v>
      </c>
      <c r="F76" s="15" t="s">
        <v>71</v>
      </c>
      <c r="G76" s="15" t="s">
        <v>72</v>
      </c>
      <c r="H76" s="15" t="s">
        <v>73</v>
      </c>
      <c r="I76" s="63">
        <v>3</v>
      </c>
      <c r="J76" s="65">
        <v>149.99</v>
      </c>
      <c r="K76" s="15" t="s">
        <v>47</v>
      </c>
      <c r="L76" s="15" t="s">
        <v>48</v>
      </c>
      <c r="M76" s="15" t="s">
        <v>54</v>
      </c>
      <c r="N76" s="16">
        <v>45199</v>
      </c>
      <c r="O76" s="61">
        <v>449.97</v>
      </c>
      <c r="P76" s="15" t="str">
        <f>TEXT(Table2[[#This Row],[Date]], "mm")</f>
        <v>07</v>
      </c>
    </row>
    <row r="77" spans="2:16" x14ac:dyDescent="0.35">
      <c r="B77" s="17" t="s">
        <v>226</v>
      </c>
      <c r="C77" s="16">
        <v>45491</v>
      </c>
      <c r="D77" s="15" t="s">
        <v>92</v>
      </c>
      <c r="E77" s="15" t="s">
        <v>93</v>
      </c>
      <c r="F77" s="15" t="s">
        <v>153</v>
      </c>
      <c r="G77" s="15" t="s">
        <v>154</v>
      </c>
      <c r="H77" s="15" t="s">
        <v>73</v>
      </c>
      <c r="I77" s="63">
        <v>3</v>
      </c>
      <c r="J77" s="65">
        <v>199.99</v>
      </c>
      <c r="K77" s="15" t="s">
        <v>47</v>
      </c>
      <c r="L77" s="15" t="s">
        <v>67</v>
      </c>
      <c r="M77" s="15" t="s">
        <v>54</v>
      </c>
      <c r="N77" s="16">
        <v>45254</v>
      </c>
      <c r="O77" s="61">
        <v>599.97</v>
      </c>
      <c r="P77" s="15" t="str">
        <f>TEXT(Table2[[#This Row],[Date]], "mm")</f>
        <v>07</v>
      </c>
    </row>
    <row r="78" spans="2:16" x14ac:dyDescent="0.35">
      <c r="B78" s="17" t="s">
        <v>227</v>
      </c>
      <c r="C78" s="16">
        <v>45496</v>
      </c>
      <c r="D78" s="15" t="s">
        <v>177</v>
      </c>
      <c r="E78" s="15" t="s">
        <v>178</v>
      </c>
      <c r="F78" s="15" t="s">
        <v>88</v>
      </c>
      <c r="G78" s="15" t="s">
        <v>89</v>
      </c>
      <c r="H78" s="15" t="s">
        <v>46</v>
      </c>
      <c r="I78" s="63">
        <v>1</v>
      </c>
      <c r="J78" s="65">
        <v>899.99</v>
      </c>
      <c r="K78" s="15" t="s">
        <v>47</v>
      </c>
      <c r="L78" s="15" t="s">
        <v>48</v>
      </c>
      <c r="M78" s="15" t="s">
        <v>63</v>
      </c>
      <c r="N78" s="16">
        <v>45179</v>
      </c>
      <c r="O78" s="61">
        <v>899.99</v>
      </c>
      <c r="P78" s="15" t="str">
        <f>TEXT(Table2[[#This Row],[Date]], "mm")</f>
        <v>07</v>
      </c>
    </row>
    <row r="79" spans="2:16" x14ac:dyDescent="0.35">
      <c r="B79" s="17" t="s">
        <v>228</v>
      </c>
      <c r="C79" s="16">
        <v>45497</v>
      </c>
      <c r="D79" s="15" t="s">
        <v>51</v>
      </c>
      <c r="E79" s="15" t="s">
        <v>52</v>
      </c>
      <c r="F79" s="15" t="s">
        <v>88</v>
      </c>
      <c r="G79" s="15" t="s">
        <v>89</v>
      </c>
      <c r="H79" s="15" t="s">
        <v>46</v>
      </c>
      <c r="I79" s="63">
        <v>5</v>
      </c>
      <c r="J79" s="65">
        <v>899.99</v>
      </c>
      <c r="K79" s="15" t="s">
        <v>84</v>
      </c>
      <c r="L79" s="15" t="s">
        <v>62</v>
      </c>
      <c r="M79" s="15" t="s">
        <v>63</v>
      </c>
      <c r="N79" s="16">
        <v>44899</v>
      </c>
      <c r="O79" s="61">
        <v>4499.95</v>
      </c>
      <c r="P79" s="15" t="str">
        <f>TEXT(Table2[[#This Row],[Date]], "mm")</f>
        <v>07</v>
      </c>
    </row>
    <row r="80" spans="2:16" x14ac:dyDescent="0.35">
      <c r="B80" s="17" t="s">
        <v>229</v>
      </c>
      <c r="C80" s="16">
        <v>45498</v>
      </c>
      <c r="D80" s="15" t="s">
        <v>209</v>
      </c>
      <c r="E80" s="15" t="s">
        <v>210</v>
      </c>
      <c r="F80" s="15" t="s">
        <v>58</v>
      </c>
      <c r="G80" s="15" t="s">
        <v>59</v>
      </c>
      <c r="H80" s="15" t="s">
        <v>60</v>
      </c>
      <c r="I80" s="63">
        <v>2</v>
      </c>
      <c r="J80" s="65">
        <v>59.99</v>
      </c>
      <c r="K80" s="15" t="s">
        <v>47</v>
      </c>
      <c r="L80" s="15" t="s">
        <v>67</v>
      </c>
      <c r="M80" s="15" t="s">
        <v>63</v>
      </c>
      <c r="N80" s="16">
        <v>45152</v>
      </c>
      <c r="O80" s="61">
        <v>119.98</v>
      </c>
      <c r="P80" s="15" t="str">
        <f>TEXT(Table2[[#This Row],[Date]], "mm")</f>
        <v>07</v>
      </c>
    </row>
    <row r="81" spans="2:16" x14ac:dyDescent="0.35">
      <c r="B81" s="17" t="s">
        <v>230</v>
      </c>
      <c r="C81" s="16">
        <v>45498</v>
      </c>
      <c r="D81" s="15" t="s">
        <v>223</v>
      </c>
      <c r="E81" s="15" t="s">
        <v>224</v>
      </c>
      <c r="F81" s="15" t="s">
        <v>44</v>
      </c>
      <c r="G81" s="15" t="s">
        <v>45</v>
      </c>
      <c r="H81" s="15" t="s">
        <v>46</v>
      </c>
      <c r="I81" s="63">
        <v>4</v>
      </c>
      <c r="J81" s="65">
        <v>249.99</v>
      </c>
      <c r="K81" s="15" t="s">
        <v>84</v>
      </c>
      <c r="L81" s="15" t="s">
        <v>48</v>
      </c>
      <c r="M81" s="15" t="s">
        <v>63</v>
      </c>
      <c r="N81" s="16">
        <v>45127</v>
      </c>
      <c r="O81" s="61">
        <v>999.96</v>
      </c>
      <c r="P81" s="15" t="str">
        <f>TEXT(Table2[[#This Row],[Date]], "mm")</f>
        <v>07</v>
      </c>
    </row>
    <row r="82" spans="2:16" x14ac:dyDescent="0.35">
      <c r="B82" s="17" t="s">
        <v>231</v>
      </c>
      <c r="C82" s="16">
        <v>45500</v>
      </c>
      <c r="D82" s="15" t="s">
        <v>123</v>
      </c>
      <c r="E82" s="15" t="s">
        <v>124</v>
      </c>
      <c r="F82" s="15" t="s">
        <v>44</v>
      </c>
      <c r="G82" s="15" t="s">
        <v>45</v>
      </c>
      <c r="H82" s="15" t="s">
        <v>46</v>
      </c>
      <c r="I82" s="63">
        <v>2</v>
      </c>
      <c r="J82" s="65">
        <v>249.99</v>
      </c>
      <c r="K82" s="15" t="s">
        <v>47</v>
      </c>
      <c r="L82" s="15" t="s">
        <v>67</v>
      </c>
      <c r="M82" s="15" t="s">
        <v>54</v>
      </c>
      <c r="N82" s="16">
        <v>45164</v>
      </c>
      <c r="O82" s="61">
        <v>499.98</v>
      </c>
      <c r="P82" s="15" t="str">
        <f>TEXT(Table2[[#This Row],[Date]], "mm")</f>
        <v>07</v>
      </c>
    </row>
    <row r="83" spans="2:16" x14ac:dyDescent="0.35">
      <c r="B83" s="17" t="s">
        <v>232</v>
      </c>
      <c r="C83" s="16">
        <v>45500</v>
      </c>
      <c r="D83" s="15" t="s">
        <v>174</v>
      </c>
      <c r="E83" s="15" t="s">
        <v>175</v>
      </c>
      <c r="F83" s="15" t="s">
        <v>132</v>
      </c>
      <c r="G83" s="15" t="s">
        <v>133</v>
      </c>
      <c r="H83" s="15" t="s">
        <v>73</v>
      </c>
      <c r="I83" s="63">
        <v>1</v>
      </c>
      <c r="J83" s="65">
        <v>299.99</v>
      </c>
      <c r="K83" s="15" t="s">
        <v>47</v>
      </c>
      <c r="L83" s="15" t="s">
        <v>62</v>
      </c>
      <c r="M83" s="15" t="s">
        <v>49</v>
      </c>
      <c r="N83" s="16">
        <v>44982</v>
      </c>
      <c r="O83" s="61">
        <v>299.99</v>
      </c>
      <c r="P83" s="15" t="str">
        <f>TEXT(Table2[[#This Row],[Date]], "mm")</f>
        <v>07</v>
      </c>
    </row>
    <row r="84" spans="2:16" x14ac:dyDescent="0.35">
      <c r="B84" s="17" t="s">
        <v>233</v>
      </c>
      <c r="C84" s="16">
        <v>45501</v>
      </c>
      <c r="D84" s="15" t="s">
        <v>113</v>
      </c>
      <c r="E84" s="15" t="s">
        <v>114</v>
      </c>
      <c r="F84" s="15" t="s">
        <v>144</v>
      </c>
      <c r="G84" s="15" t="s">
        <v>145</v>
      </c>
      <c r="H84" s="15" t="s">
        <v>46</v>
      </c>
      <c r="I84" s="63">
        <v>2</v>
      </c>
      <c r="J84" s="65">
        <v>89.99</v>
      </c>
      <c r="K84" s="15" t="s">
        <v>61</v>
      </c>
      <c r="L84" s="15" t="s">
        <v>62</v>
      </c>
      <c r="M84" s="15" t="s">
        <v>49</v>
      </c>
      <c r="N84" s="16">
        <v>44976</v>
      </c>
      <c r="O84" s="61">
        <v>179.98</v>
      </c>
      <c r="P84" s="15" t="str">
        <f>TEXT(Table2[[#This Row],[Date]], "mm")</f>
        <v>07</v>
      </c>
    </row>
    <row r="85" spans="2:16" x14ac:dyDescent="0.35">
      <c r="B85" s="17" t="s">
        <v>234</v>
      </c>
      <c r="C85" s="16">
        <v>45501</v>
      </c>
      <c r="D85" s="15" t="s">
        <v>174</v>
      </c>
      <c r="E85" s="15" t="s">
        <v>175</v>
      </c>
      <c r="F85" s="15" t="s">
        <v>132</v>
      </c>
      <c r="G85" s="15" t="s">
        <v>133</v>
      </c>
      <c r="H85" s="15" t="s">
        <v>73</v>
      </c>
      <c r="I85" s="63">
        <v>3</v>
      </c>
      <c r="J85" s="65">
        <v>299.99</v>
      </c>
      <c r="K85" s="15" t="s">
        <v>47</v>
      </c>
      <c r="L85" s="15" t="s">
        <v>48</v>
      </c>
      <c r="M85" s="15" t="s">
        <v>49</v>
      </c>
      <c r="N85" s="16">
        <v>44732</v>
      </c>
      <c r="O85" s="61">
        <v>899.97</v>
      </c>
      <c r="P85" s="15" t="str">
        <f>TEXT(Table2[[#This Row],[Date]], "mm")</f>
        <v>07</v>
      </c>
    </row>
    <row r="86" spans="2:16" x14ac:dyDescent="0.35">
      <c r="B86" s="17" t="s">
        <v>235</v>
      </c>
      <c r="C86" s="16">
        <v>45503</v>
      </c>
      <c r="D86" s="15" t="s">
        <v>113</v>
      </c>
      <c r="E86" s="15" t="s">
        <v>114</v>
      </c>
      <c r="F86" s="15" t="s">
        <v>107</v>
      </c>
      <c r="G86" s="15" t="s">
        <v>108</v>
      </c>
      <c r="H86" s="15" t="s">
        <v>46</v>
      </c>
      <c r="I86" s="63">
        <v>2</v>
      </c>
      <c r="J86" s="65">
        <v>699.99</v>
      </c>
      <c r="K86" s="15" t="s">
        <v>53</v>
      </c>
      <c r="L86" s="15" t="s">
        <v>67</v>
      </c>
      <c r="M86" s="15" t="s">
        <v>54</v>
      </c>
      <c r="N86" s="16">
        <v>44999</v>
      </c>
      <c r="O86" s="61">
        <v>1399.98</v>
      </c>
      <c r="P86" s="15" t="str">
        <f>TEXT(Table2[[#This Row],[Date]], "mm")</f>
        <v>07</v>
      </c>
    </row>
    <row r="87" spans="2:16" x14ac:dyDescent="0.35">
      <c r="B87" s="17" t="s">
        <v>236</v>
      </c>
      <c r="C87" s="16">
        <v>45504</v>
      </c>
      <c r="D87" s="15" t="s">
        <v>147</v>
      </c>
      <c r="E87" s="15" t="s">
        <v>148</v>
      </c>
      <c r="F87" s="15" t="s">
        <v>88</v>
      </c>
      <c r="G87" s="15" t="s">
        <v>89</v>
      </c>
      <c r="H87" s="15" t="s">
        <v>46</v>
      </c>
      <c r="I87" s="63">
        <v>4</v>
      </c>
      <c r="J87" s="65">
        <v>899.99</v>
      </c>
      <c r="K87" s="15" t="s">
        <v>84</v>
      </c>
      <c r="L87" s="15" t="s">
        <v>62</v>
      </c>
      <c r="M87" s="15" t="s">
        <v>63</v>
      </c>
      <c r="N87" s="16">
        <v>44523</v>
      </c>
      <c r="O87" s="61">
        <v>3599.96</v>
      </c>
      <c r="P87" s="15" t="str">
        <f>TEXT(Table2[[#This Row],[Date]], "mm")</f>
        <v>07</v>
      </c>
    </row>
    <row r="88" spans="2:16" x14ac:dyDescent="0.35">
      <c r="B88" s="17" t="s">
        <v>237</v>
      </c>
      <c r="C88" s="16">
        <v>45509</v>
      </c>
      <c r="D88" s="15" t="s">
        <v>238</v>
      </c>
      <c r="E88" s="15" t="s">
        <v>239</v>
      </c>
      <c r="F88" s="15" t="s">
        <v>71</v>
      </c>
      <c r="G88" s="15" t="s">
        <v>72</v>
      </c>
      <c r="H88" s="15" t="s">
        <v>73</v>
      </c>
      <c r="I88" s="63">
        <v>2</v>
      </c>
      <c r="J88" s="65">
        <v>149.99</v>
      </c>
      <c r="K88" s="15" t="s">
        <v>53</v>
      </c>
      <c r="L88" s="15" t="s">
        <v>77</v>
      </c>
      <c r="M88" s="15" t="s">
        <v>49</v>
      </c>
      <c r="N88" s="16">
        <v>44542</v>
      </c>
      <c r="O88" s="61">
        <v>299.98</v>
      </c>
      <c r="P88" s="15" t="str">
        <f>TEXT(Table2[[#This Row],[Date]], "mm")</f>
        <v>08</v>
      </c>
    </row>
    <row r="89" spans="2:16" x14ac:dyDescent="0.35">
      <c r="B89" s="17" t="s">
        <v>240</v>
      </c>
      <c r="C89" s="16">
        <v>45510</v>
      </c>
      <c r="D89" s="15" t="s">
        <v>129</v>
      </c>
      <c r="E89" s="15" t="s">
        <v>130</v>
      </c>
      <c r="F89" s="15" t="s">
        <v>71</v>
      </c>
      <c r="G89" s="15" t="s">
        <v>72</v>
      </c>
      <c r="H89" s="15" t="s">
        <v>73</v>
      </c>
      <c r="I89" s="63">
        <v>2</v>
      </c>
      <c r="J89" s="65">
        <v>149.99</v>
      </c>
      <c r="K89" s="15" t="s">
        <v>84</v>
      </c>
      <c r="L89" s="15" t="s">
        <v>90</v>
      </c>
      <c r="M89" s="15" t="s">
        <v>63</v>
      </c>
      <c r="N89" s="16">
        <v>44667</v>
      </c>
      <c r="O89" s="61">
        <v>299.98</v>
      </c>
      <c r="P89" s="15" t="str">
        <f>TEXT(Table2[[#This Row],[Date]], "mm")</f>
        <v>08</v>
      </c>
    </row>
    <row r="90" spans="2:16" x14ac:dyDescent="0.35">
      <c r="B90" s="17" t="s">
        <v>241</v>
      </c>
      <c r="C90" s="16">
        <v>45513</v>
      </c>
      <c r="D90" s="15" t="s">
        <v>116</v>
      </c>
      <c r="E90" s="15" t="s">
        <v>117</v>
      </c>
      <c r="F90" s="15" t="s">
        <v>144</v>
      </c>
      <c r="G90" s="15" t="s">
        <v>145</v>
      </c>
      <c r="H90" s="15" t="s">
        <v>46</v>
      </c>
      <c r="I90" s="63">
        <v>1</v>
      </c>
      <c r="J90" s="65">
        <v>89.99</v>
      </c>
      <c r="K90" s="15" t="s">
        <v>53</v>
      </c>
      <c r="L90" s="15" t="s">
        <v>67</v>
      </c>
      <c r="M90" s="15" t="s">
        <v>63</v>
      </c>
      <c r="N90" s="16">
        <v>45393</v>
      </c>
      <c r="O90" s="61">
        <v>89.99</v>
      </c>
      <c r="P90" s="15" t="str">
        <f>TEXT(Table2[[#This Row],[Date]], "mm")</f>
        <v>08</v>
      </c>
    </row>
    <row r="91" spans="2:16" x14ac:dyDescent="0.35">
      <c r="B91" s="17" t="s">
        <v>242</v>
      </c>
      <c r="C91" s="16">
        <v>45515</v>
      </c>
      <c r="D91" s="15" t="s">
        <v>113</v>
      </c>
      <c r="E91" s="15" t="s">
        <v>114</v>
      </c>
      <c r="F91" s="15" t="s">
        <v>132</v>
      </c>
      <c r="G91" s="15" t="s">
        <v>133</v>
      </c>
      <c r="H91" s="15" t="s">
        <v>73</v>
      </c>
      <c r="I91" s="63">
        <v>5</v>
      </c>
      <c r="J91" s="65">
        <v>299.99</v>
      </c>
      <c r="K91" s="15" t="s">
        <v>53</v>
      </c>
      <c r="L91" s="15" t="s">
        <v>67</v>
      </c>
      <c r="M91" s="15" t="s">
        <v>49</v>
      </c>
      <c r="N91" s="16">
        <v>44965</v>
      </c>
      <c r="O91" s="61">
        <v>1499.95</v>
      </c>
      <c r="P91" s="15" t="str">
        <f>TEXT(Table2[[#This Row],[Date]], "mm")</f>
        <v>08</v>
      </c>
    </row>
    <row r="92" spans="2:16" x14ac:dyDescent="0.35">
      <c r="B92" s="17" t="s">
        <v>243</v>
      </c>
      <c r="C92" s="16">
        <v>45517</v>
      </c>
      <c r="D92" s="15" t="s">
        <v>209</v>
      </c>
      <c r="E92" s="15" t="s">
        <v>210</v>
      </c>
      <c r="F92" s="15" t="s">
        <v>79</v>
      </c>
      <c r="G92" s="15" t="s">
        <v>80</v>
      </c>
      <c r="H92" s="15" t="s">
        <v>46</v>
      </c>
      <c r="I92" s="63">
        <v>4</v>
      </c>
      <c r="J92" s="65">
        <v>149.99</v>
      </c>
      <c r="K92" s="15" t="s">
        <v>84</v>
      </c>
      <c r="L92" s="15" t="s">
        <v>62</v>
      </c>
      <c r="M92" s="15" t="s">
        <v>54</v>
      </c>
      <c r="N92" s="16">
        <v>44820</v>
      </c>
      <c r="O92" s="61">
        <v>599.96</v>
      </c>
      <c r="P92" s="15" t="str">
        <f>TEXT(Table2[[#This Row],[Date]], "mm")</f>
        <v>08</v>
      </c>
    </row>
    <row r="93" spans="2:16" x14ac:dyDescent="0.35">
      <c r="B93" s="17" t="s">
        <v>244</v>
      </c>
      <c r="C93" s="16">
        <v>45517</v>
      </c>
      <c r="D93" s="15" t="s">
        <v>212</v>
      </c>
      <c r="E93" s="15" t="s">
        <v>213</v>
      </c>
      <c r="F93" s="15" t="s">
        <v>44</v>
      </c>
      <c r="G93" s="15" t="s">
        <v>45</v>
      </c>
      <c r="H93" s="15" t="s">
        <v>46</v>
      </c>
      <c r="I93" s="63">
        <v>5</v>
      </c>
      <c r="J93" s="65">
        <v>249.99</v>
      </c>
      <c r="K93" s="15" t="s">
        <v>61</v>
      </c>
      <c r="L93" s="15" t="s">
        <v>90</v>
      </c>
      <c r="M93" s="15" t="s">
        <v>54</v>
      </c>
      <c r="N93" s="16">
        <v>44782</v>
      </c>
      <c r="O93" s="61">
        <v>1249.95</v>
      </c>
      <c r="P93" s="15" t="str">
        <f>TEXT(Table2[[#This Row],[Date]], "mm")</f>
        <v>08</v>
      </c>
    </row>
    <row r="94" spans="2:16" x14ac:dyDescent="0.35">
      <c r="B94" s="17" t="s">
        <v>245</v>
      </c>
      <c r="C94" s="16">
        <v>45517</v>
      </c>
      <c r="D94" s="15" t="s">
        <v>92</v>
      </c>
      <c r="E94" s="15" t="s">
        <v>93</v>
      </c>
      <c r="F94" s="15" t="s">
        <v>44</v>
      </c>
      <c r="G94" s="15" t="s">
        <v>45</v>
      </c>
      <c r="H94" s="15" t="s">
        <v>46</v>
      </c>
      <c r="I94" s="63">
        <v>3</v>
      </c>
      <c r="J94" s="65">
        <v>249.99</v>
      </c>
      <c r="K94" s="15" t="s">
        <v>61</v>
      </c>
      <c r="L94" s="15" t="s">
        <v>67</v>
      </c>
      <c r="M94" s="15" t="s">
        <v>54</v>
      </c>
      <c r="N94" s="16">
        <v>44465</v>
      </c>
      <c r="O94" s="61">
        <v>749.97</v>
      </c>
      <c r="P94" s="15" t="str">
        <f>TEXT(Table2[[#This Row],[Date]], "mm")</f>
        <v>08</v>
      </c>
    </row>
    <row r="95" spans="2:16" x14ac:dyDescent="0.35">
      <c r="B95" s="17" t="s">
        <v>246</v>
      </c>
      <c r="C95" s="16">
        <v>45517</v>
      </c>
      <c r="D95" s="15" t="s">
        <v>65</v>
      </c>
      <c r="E95" s="15" t="s">
        <v>66</v>
      </c>
      <c r="F95" s="15" t="s">
        <v>153</v>
      </c>
      <c r="G95" s="15" t="s">
        <v>154</v>
      </c>
      <c r="H95" s="15" t="s">
        <v>73</v>
      </c>
      <c r="I95" s="63">
        <v>4</v>
      </c>
      <c r="J95" s="65">
        <v>199.99</v>
      </c>
      <c r="K95" s="15" t="s">
        <v>47</v>
      </c>
      <c r="L95" s="15" t="s">
        <v>67</v>
      </c>
      <c r="M95" s="15" t="s">
        <v>63</v>
      </c>
      <c r="N95" s="16">
        <v>44458</v>
      </c>
      <c r="O95" s="61">
        <v>799.96</v>
      </c>
      <c r="P95" s="15" t="str">
        <f>TEXT(Table2[[#This Row],[Date]], "mm")</f>
        <v>08</v>
      </c>
    </row>
    <row r="96" spans="2:16" x14ac:dyDescent="0.35">
      <c r="B96" s="17" t="s">
        <v>247</v>
      </c>
      <c r="C96" s="16">
        <v>45519</v>
      </c>
      <c r="D96" s="15" t="s">
        <v>185</v>
      </c>
      <c r="E96" s="15" t="s">
        <v>186</v>
      </c>
      <c r="F96" s="15" t="s">
        <v>153</v>
      </c>
      <c r="G96" s="15" t="s">
        <v>154</v>
      </c>
      <c r="H96" s="15" t="s">
        <v>73</v>
      </c>
      <c r="I96" s="63">
        <v>5</v>
      </c>
      <c r="J96" s="65">
        <v>199.99</v>
      </c>
      <c r="K96" s="15" t="s">
        <v>47</v>
      </c>
      <c r="L96" s="15" t="s">
        <v>67</v>
      </c>
      <c r="M96" s="15" t="s">
        <v>54</v>
      </c>
      <c r="N96" s="16">
        <v>44991</v>
      </c>
      <c r="O96" s="61">
        <v>999.95</v>
      </c>
      <c r="P96" s="15" t="str">
        <f>TEXT(Table2[[#This Row],[Date]], "mm")</f>
        <v>08</v>
      </c>
    </row>
    <row r="97" spans="2:16" x14ac:dyDescent="0.35">
      <c r="B97" s="17" t="s">
        <v>248</v>
      </c>
      <c r="C97" s="16">
        <v>45522</v>
      </c>
      <c r="D97" s="15" t="s">
        <v>113</v>
      </c>
      <c r="E97" s="15" t="s">
        <v>114</v>
      </c>
      <c r="F97" s="15" t="s">
        <v>144</v>
      </c>
      <c r="G97" s="15" t="s">
        <v>145</v>
      </c>
      <c r="H97" s="15" t="s">
        <v>46</v>
      </c>
      <c r="I97" s="63">
        <v>2</v>
      </c>
      <c r="J97" s="65">
        <v>89.99</v>
      </c>
      <c r="K97" s="15" t="s">
        <v>47</v>
      </c>
      <c r="L97" s="15" t="s">
        <v>90</v>
      </c>
      <c r="M97" s="15" t="s">
        <v>54</v>
      </c>
      <c r="N97" s="16">
        <v>44972</v>
      </c>
      <c r="O97" s="61">
        <v>179.98</v>
      </c>
      <c r="P97" s="15" t="str">
        <f>TEXT(Table2[[#This Row],[Date]], "mm")</f>
        <v>08</v>
      </c>
    </row>
    <row r="98" spans="2:16" x14ac:dyDescent="0.35">
      <c r="B98" s="17" t="s">
        <v>249</v>
      </c>
      <c r="C98" s="16">
        <v>45523</v>
      </c>
      <c r="D98" s="15" t="s">
        <v>223</v>
      </c>
      <c r="E98" s="15" t="s">
        <v>224</v>
      </c>
      <c r="F98" s="15" t="s">
        <v>88</v>
      </c>
      <c r="G98" s="15" t="s">
        <v>89</v>
      </c>
      <c r="H98" s="15" t="s">
        <v>46</v>
      </c>
      <c r="I98" s="63">
        <v>5</v>
      </c>
      <c r="J98" s="65">
        <v>899.99</v>
      </c>
      <c r="K98" s="15" t="s">
        <v>84</v>
      </c>
      <c r="L98" s="15" t="s">
        <v>90</v>
      </c>
      <c r="M98" s="15" t="s">
        <v>49</v>
      </c>
      <c r="N98" s="16">
        <v>44526</v>
      </c>
      <c r="O98" s="61">
        <v>4499.95</v>
      </c>
      <c r="P98" s="15" t="str">
        <f>TEXT(Table2[[#This Row],[Date]], "mm")</f>
        <v>08</v>
      </c>
    </row>
    <row r="99" spans="2:16" x14ac:dyDescent="0.35">
      <c r="B99" s="17" t="s">
        <v>250</v>
      </c>
      <c r="C99" s="16">
        <v>45523</v>
      </c>
      <c r="D99" s="15" t="s">
        <v>135</v>
      </c>
      <c r="E99" s="15" t="s">
        <v>136</v>
      </c>
      <c r="F99" s="15" t="s">
        <v>79</v>
      </c>
      <c r="G99" s="15" t="s">
        <v>80</v>
      </c>
      <c r="H99" s="15" t="s">
        <v>46</v>
      </c>
      <c r="I99" s="63">
        <v>3</v>
      </c>
      <c r="J99" s="65">
        <v>149.99</v>
      </c>
      <c r="K99" s="15" t="s">
        <v>61</v>
      </c>
      <c r="L99" s="15" t="s">
        <v>90</v>
      </c>
      <c r="M99" s="15" t="s">
        <v>49</v>
      </c>
      <c r="N99" s="16">
        <v>44574</v>
      </c>
      <c r="O99" s="61">
        <v>449.97</v>
      </c>
      <c r="P99" s="15" t="str">
        <f>TEXT(Table2[[#This Row],[Date]], "mm")</f>
        <v>08</v>
      </c>
    </row>
    <row r="100" spans="2:16" x14ac:dyDescent="0.35">
      <c r="B100" s="17" t="s">
        <v>251</v>
      </c>
      <c r="C100" s="16">
        <v>45526</v>
      </c>
      <c r="D100" s="15" t="s">
        <v>129</v>
      </c>
      <c r="E100" s="15" t="s">
        <v>130</v>
      </c>
      <c r="F100" s="15" t="s">
        <v>71</v>
      </c>
      <c r="G100" s="15" t="s">
        <v>72</v>
      </c>
      <c r="H100" s="15" t="s">
        <v>73</v>
      </c>
      <c r="I100" s="63">
        <v>5</v>
      </c>
      <c r="J100" s="65">
        <v>149.99</v>
      </c>
      <c r="K100" s="15" t="s">
        <v>53</v>
      </c>
      <c r="L100" s="15" t="s">
        <v>48</v>
      </c>
      <c r="M100" s="15" t="s">
        <v>49</v>
      </c>
      <c r="N100" s="16">
        <v>45310</v>
      </c>
      <c r="O100" s="61">
        <v>749.95</v>
      </c>
      <c r="P100" s="15" t="str">
        <f>TEXT(Table2[[#This Row],[Date]], "mm")</f>
        <v>08</v>
      </c>
    </row>
    <row r="101" spans="2:16" x14ac:dyDescent="0.35">
      <c r="B101" s="17" t="s">
        <v>252</v>
      </c>
      <c r="C101" s="16">
        <v>45528</v>
      </c>
      <c r="D101" s="15" t="s">
        <v>253</v>
      </c>
      <c r="E101" s="15" t="s">
        <v>254</v>
      </c>
      <c r="F101" s="15" t="s">
        <v>141</v>
      </c>
      <c r="G101" s="15" t="s">
        <v>142</v>
      </c>
      <c r="H101" s="15" t="s">
        <v>60</v>
      </c>
      <c r="I101" s="63">
        <v>3</v>
      </c>
      <c r="J101" s="65">
        <v>79.989999999999995</v>
      </c>
      <c r="K101" s="15" t="s">
        <v>47</v>
      </c>
      <c r="L101" s="15" t="s">
        <v>48</v>
      </c>
      <c r="M101" s="15" t="s">
        <v>54</v>
      </c>
      <c r="N101" s="16">
        <v>44779</v>
      </c>
      <c r="O101" s="61">
        <v>239.97</v>
      </c>
      <c r="P101" s="15" t="str">
        <f>TEXT(Table2[[#This Row],[Date]], "mm")</f>
        <v>08</v>
      </c>
    </row>
    <row r="102" spans="2:16" x14ac:dyDescent="0.35">
      <c r="B102" s="17" t="s">
        <v>255</v>
      </c>
      <c r="C102" s="16">
        <v>45528</v>
      </c>
      <c r="D102" s="15" t="s">
        <v>171</v>
      </c>
      <c r="E102" s="15" t="s">
        <v>172</v>
      </c>
      <c r="F102" s="15" t="s">
        <v>44</v>
      </c>
      <c r="G102" s="15" t="s">
        <v>45</v>
      </c>
      <c r="H102" s="15" t="s">
        <v>46</v>
      </c>
      <c r="I102" s="63">
        <v>2</v>
      </c>
      <c r="J102" s="65">
        <v>249.99</v>
      </c>
      <c r="K102" s="15" t="s">
        <v>47</v>
      </c>
      <c r="L102" s="15" t="s">
        <v>62</v>
      </c>
      <c r="M102" s="15" t="s">
        <v>63</v>
      </c>
      <c r="N102" s="16">
        <v>44572</v>
      </c>
      <c r="O102" s="61">
        <v>499.98</v>
      </c>
      <c r="P102" s="15" t="str">
        <f>TEXT(Table2[[#This Row],[Date]], "mm")</f>
        <v>08</v>
      </c>
    </row>
    <row r="103" spans="2:16" x14ac:dyDescent="0.35">
      <c r="B103" s="17" t="s">
        <v>256</v>
      </c>
      <c r="C103" s="16">
        <v>45532</v>
      </c>
      <c r="D103" s="15" t="s">
        <v>223</v>
      </c>
      <c r="E103" s="15" t="s">
        <v>224</v>
      </c>
      <c r="F103" s="15" t="s">
        <v>107</v>
      </c>
      <c r="G103" s="15" t="s">
        <v>108</v>
      </c>
      <c r="H103" s="15" t="s">
        <v>46</v>
      </c>
      <c r="I103" s="63">
        <v>1</v>
      </c>
      <c r="J103" s="65">
        <v>699.99</v>
      </c>
      <c r="K103" s="15" t="s">
        <v>47</v>
      </c>
      <c r="L103" s="15" t="s">
        <v>48</v>
      </c>
      <c r="M103" s="15" t="s">
        <v>54</v>
      </c>
      <c r="N103" s="16">
        <v>44497</v>
      </c>
      <c r="O103" s="61">
        <v>699.99</v>
      </c>
      <c r="P103" s="15" t="str">
        <f>TEXT(Table2[[#This Row],[Date]], "mm")</f>
        <v>08</v>
      </c>
    </row>
    <row r="104" spans="2:16" x14ac:dyDescent="0.35">
      <c r="B104" s="17" t="s">
        <v>257</v>
      </c>
      <c r="C104" s="16">
        <v>45532</v>
      </c>
      <c r="D104" s="15" t="s">
        <v>258</v>
      </c>
      <c r="E104" s="15" t="s">
        <v>259</v>
      </c>
      <c r="F104" s="15" t="s">
        <v>79</v>
      </c>
      <c r="G104" s="15" t="s">
        <v>80</v>
      </c>
      <c r="H104" s="15" t="s">
        <v>46</v>
      </c>
      <c r="I104" s="63">
        <v>3</v>
      </c>
      <c r="J104" s="65">
        <v>149.99</v>
      </c>
      <c r="K104" s="15" t="s">
        <v>47</v>
      </c>
      <c r="L104" s="15" t="s">
        <v>77</v>
      </c>
      <c r="M104" s="15" t="s">
        <v>54</v>
      </c>
      <c r="N104" s="16">
        <v>45212</v>
      </c>
      <c r="O104" s="61">
        <v>449.97</v>
      </c>
      <c r="P104" s="15" t="str">
        <f>TEXT(Table2[[#This Row],[Date]], "mm")</f>
        <v>08</v>
      </c>
    </row>
    <row r="105" spans="2:16" x14ac:dyDescent="0.35">
      <c r="B105" s="17" t="s">
        <v>260</v>
      </c>
      <c r="C105" s="16">
        <v>45534</v>
      </c>
      <c r="D105" s="15" t="s">
        <v>261</v>
      </c>
      <c r="E105" s="15" t="s">
        <v>262</v>
      </c>
      <c r="F105" s="15" t="s">
        <v>107</v>
      </c>
      <c r="G105" s="15" t="s">
        <v>108</v>
      </c>
      <c r="H105" s="15" t="s">
        <v>46</v>
      </c>
      <c r="I105" s="63">
        <v>2</v>
      </c>
      <c r="J105" s="65">
        <v>699.99</v>
      </c>
      <c r="K105" s="15" t="s">
        <v>53</v>
      </c>
      <c r="L105" s="15" t="s">
        <v>67</v>
      </c>
      <c r="M105" s="15" t="s">
        <v>54</v>
      </c>
      <c r="N105" s="16">
        <v>44421</v>
      </c>
      <c r="O105" s="61">
        <v>1399.98</v>
      </c>
      <c r="P105" s="15" t="str">
        <f>TEXT(Table2[[#This Row],[Date]], "mm")</f>
        <v>08</v>
      </c>
    </row>
    <row r="106" spans="2:16" x14ac:dyDescent="0.35">
      <c r="B106" s="17" t="s">
        <v>263</v>
      </c>
      <c r="C106" s="16">
        <v>45537</v>
      </c>
      <c r="D106" s="15" t="s">
        <v>258</v>
      </c>
      <c r="E106" s="15" t="s">
        <v>259</v>
      </c>
      <c r="F106" s="15" t="s">
        <v>44</v>
      </c>
      <c r="G106" s="15" t="s">
        <v>45</v>
      </c>
      <c r="H106" s="15" t="s">
        <v>46</v>
      </c>
      <c r="I106" s="63">
        <v>1</v>
      </c>
      <c r="J106" s="65">
        <v>249.99</v>
      </c>
      <c r="K106" s="15" t="s">
        <v>53</v>
      </c>
      <c r="L106" s="15" t="s">
        <v>77</v>
      </c>
      <c r="M106" s="15" t="s">
        <v>54</v>
      </c>
      <c r="N106" s="16">
        <v>44685</v>
      </c>
      <c r="O106" s="61">
        <v>249.99</v>
      </c>
      <c r="P106" s="15" t="str">
        <f>TEXT(Table2[[#This Row],[Date]], "mm")</f>
        <v>09</v>
      </c>
    </row>
    <row r="107" spans="2:16" x14ac:dyDescent="0.35">
      <c r="B107" s="17" t="s">
        <v>264</v>
      </c>
      <c r="C107" s="16">
        <v>45537</v>
      </c>
      <c r="D107" s="15" t="s">
        <v>42</v>
      </c>
      <c r="E107" s="15" t="s">
        <v>43</v>
      </c>
      <c r="F107" s="15" t="s">
        <v>44</v>
      </c>
      <c r="G107" s="15" t="s">
        <v>45</v>
      </c>
      <c r="H107" s="15" t="s">
        <v>46</v>
      </c>
      <c r="I107" s="63">
        <v>1</v>
      </c>
      <c r="J107" s="65">
        <v>249.99</v>
      </c>
      <c r="K107" s="15" t="s">
        <v>84</v>
      </c>
      <c r="L107" s="15" t="s">
        <v>67</v>
      </c>
      <c r="M107" s="15" t="s">
        <v>54</v>
      </c>
      <c r="N107" s="16">
        <v>45332</v>
      </c>
      <c r="O107" s="61">
        <v>249.99</v>
      </c>
      <c r="P107" s="15" t="str">
        <f>TEXT(Table2[[#This Row],[Date]], "mm")</f>
        <v>09</v>
      </c>
    </row>
    <row r="108" spans="2:16" x14ac:dyDescent="0.35">
      <c r="B108" s="17" t="s">
        <v>265</v>
      </c>
      <c r="C108" s="16">
        <v>45538</v>
      </c>
      <c r="D108" s="15" t="s">
        <v>253</v>
      </c>
      <c r="E108" s="15" t="s">
        <v>254</v>
      </c>
      <c r="F108" s="15" t="s">
        <v>107</v>
      </c>
      <c r="G108" s="15" t="s">
        <v>108</v>
      </c>
      <c r="H108" s="15" t="s">
        <v>46</v>
      </c>
      <c r="I108" s="63">
        <v>2</v>
      </c>
      <c r="J108" s="65">
        <v>699.99</v>
      </c>
      <c r="K108" s="15" t="s">
        <v>84</v>
      </c>
      <c r="L108" s="15" t="s">
        <v>48</v>
      </c>
      <c r="M108" s="15" t="s">
        <v>54</v>
      </c>
      <c r="N108" s="16">
        <v>44870</v>
      </c>
      <c r="O108" s="61">
        <v>1399.98</v>
      </c>
      <c r="P108" s="15" t="str">
        <f>TEXT(Table2[[#This Row],[Date]], "mm")</f>
        <v>09</v>
      </c>
    </row>
    <row r="109" spans="2:16" x14ac:dyDescent="0.35">
      <c r="B109" s="17" t="s">
        <v>266</v>
      </c>
      <c r="C109" s="16">
        <v>45541</v>
      </c>
      <c r="D109" s="15" t="s">
        <v>165</v>
      </c>
      <c r="E109" s="15" t="s">
        <v>166</v>
      </c>
      <c r="F109" s="15" t="s">
        <v>58</v>
      </c>
      <c r="G109" s="15" t="s">
        <v>59</v>
      </c>
      <c r="H109" s="15" t="s">
        <v>60</v>
      </c>
      <c r="I109" s="63">
        <v>3</v>
      </c>
      <c r="J109" s="65">
        <v>59.99</v>
      </c>
      <c r="K109" s="15" t="s">
        <v>53</v>
      </c>
      <c r="L109" s="15" t="s">
        <v>48</v>
      </c>
      <c r="M109" s="15" t="s">
        <v>54</v>
      </c>
      <c r="N109" s="16">
        <v>44717</v>
      </c>
      <c r="O109" s="61">
        <v>179.97</v>
      </c>
      <c r="P109" s="15" t="str">
        <f>TEXT(Table2[[#This Row],[Date]], "mm")</f>
        <v>09</v>
      </c>
    </row>
    <row r="110" spans="2:16" x14ac:dyDescent="0.35">
      <c r="B110" s="17" t="s">
        <v>267</v>
      </c>
      <c r="C110" s="16">
        <v>45544</v>
      </c>
      <c r="D110" s="15" t="s">
        <v>159</v>
      </c>
      <c r="E110" s="15" t="s">
        <v>160</v>
      </c>
      <c r="F110" s="15" t="s">
        <v>58</v>
      </c>
      <c r="G110" s="15" t="s">
        <v>59</v>
      </c>
      <c r="H110" s="15" t="s">
        <v>60</v>
      </c>
      <c r="I110" s="63">
        <v>3</v>
      </c>
      <c r="J110" s="65">
        <v>59.99</v>
      </c>
      <c r="K110" s="15" t="s">
        <v>61</v>
      </c>
      <c r="L110" s="15" t="s">
        <v>90</v>
      </c>
      <c r="M110" s="15" t="s">
        <v>63</v>
      </c>
      <c r="N110" s="16">
        <v>44748</v>
      </c>
      <c r="O110" s="61">
        <v>179.97</v>
      </c>
      <c r="P110" s="15" t="str">
        <f>TEXT(Table2[[#This Row],[Date]], "mm")</f>
        <v>09</v>
      </c>
    </row>
    <row r="111" spans="2:16" x14ac:dyDescent="0.35">
      <c r="B111" s="17" t="s">
        <v>268</v>
      </c>
      <c r="C111" s="16">
        <v>45544</v>
      </c>
      <c r="D111" s="15" t="s">
        <v>168</v>
      </c>
      <c r="E111" s="15" t="s">
        <v>169</v>
      </c>
      <c r="F111" s="15" t="s">
        <v>141</v>
      </c>
      <c r="G111" s="15" t="s">
        <v>142</v>
      </c>
      <c r="H111" s="15" t="s">
        <v>60</v>
      </c>
      <c r="I111" s="63">
        <v>4</v>
      </c>
      <c r="J111" s="65">
        <v>79.989999999999995</v>
      </c>
      <c r="K111" s="15" t="s">
        <v>47</v>
      </c>
      <c r="L111" s="15" t="s">
        <v>67</v>
      </c>
      <c r="M111" s="15" t="s">
        <v>49</v>
      </c>
      <c r="N111" s="16">
        <v>44530</v>
      </c>
      <c r="O111" s="61">
        <v>319.95999999999998</v>
      </c>
      <c r="P111" s="15" t="str">
        <f>TEXT(Table2[[#This Row],[Date]], "mm")</f>
        <v>09</v>
      </c>
    </row>
    <row r="112" spans="2:16" x14ac:dyDescent="0.35">
      <c r="B112" s="17" t="s">
        <v>269</v>
      </c>
      <c r="C112" s="16">
        <v>45545</v>
      </c>
      <c r="D112" s="15" t="s">
        <v>82</v>
      </c>
      <c r="E112" s="15" t="s">
        <v>83</v>
      </c>
      <c r="F112" s="15" t="s">
        <v>141</v>
      </c>
      <c r="G112" s="15" t="s">
        <v>142</v>
      </c>
      <c r="H112" s="15" t="s">
        <v>60</v>
      </c>
      <c r="I112" s="63">
        <v>1</v>
      </c>
      <c r="J112" s="65">
        <v>79.989999999999995</v>
      </c>
      <c r="K112" s="15" t="s">
        <v>47</v>
      </c>
      <c r="L112" s="15" t="s">
        <v>77</v>
      </c>
      <c r="M112" s="15" t="s">
        <v>49</v>
      </c>
      <c r="N112" s="16">
        <v>44693</v>
      </c>
      <c r="O112" s="61">
        <v>79.989999999999995</v>
      </c>
      <c r="P112" s="15" t="str">
        <f>TEXT(Table2[[#This Row],[Date]], "mm")</f>
        <v>09</v>
      </c>
    </row>
    <row r="113" spans="2:16" x14ac:dyDescent="0.35">
      <c r="B113" s="17" t="s">
        <v>270</v>
      </c>
      <c r="C113" s="16">
        <v>45547</v>
      </c>
      <c r="D113" s="15" t="s">
        <v>75</v>
      </c>
      <c r="E113" s="15" t="s">
        <v>76</v>
      </c>
      <c r="F113" s="15" t="s">
        <v>132</v>
      </c>
      <c r="G113" s="15" t="s">
        <v>133</v>
      </c>
      <c r="H113" s="15" t="s">
        <v>73</v>
      </c>
      <c r="I113" s="63">
        <v>3</v>
      </c>
      <c r="J113" s="65">
        <v>299.99</v>
      </c>
      <c r="K113" s="15" t="s">
        <v>53</v>
      </c>
      <c r="L113" s="15" t="s">
        <v>48</v>
      </c>
      <c r="M113" s="15" t="s">
        <v>54</v>
      </c>
      <c r="N113" s="16">
        <v>44494</v>
      </c>
      <c r="O113" s="61">
        <v>899.97</v>
      </c>
      <c r="P113" s="15" t="str">
        <f>TEXT(Table2[[#This Row],[Date]], "mm")</f>
        <v>09</v>
      </c>
    </row>
    <row r="114" spans="2:16" x14ac:dyDescent="0.35">
      <c r="B114" s="17" t="s">
        <v>271</v>
      </c>
      <c r="C114" s="16">
        <v>45548</v>
      </c>
      <c r="D114" s="15" t="s">
        <v>65</v>
      </c>
      <c r="E114" s="15" t="s">
        <v>66</v>
      </c>
      <c r="F114" s="15" t="s">
        <v>144</v>
      </c>
      <c r="G114" s="15" t="s">
        <v>145</v>
      </c>
      <c r="H114" s="15" t="s">
        <v>46</v>
      </c>
      <c r="I114" s="63">
        <v>2</v>
      </c>
      <c r="J114" s="65">
        <v>89.99</v>
      </c>
      <c r="K114" s="15" t="s">
        <v>53</v>
      </c>
      <c r="L114" s="15" t="s">
        <v>62</v>
      </c>
      <c r="M114" s="15" t="s">
        <v>54</v>
      </c>
      <c r="N114" s="16">
        <v>44641</v>
      </c>
      <c r="O114" s="61">
        <v>179.98</v>
      </c>
      <c r="P114" s="15" t="str">
        <f>TEXT(Table2[[#This Row],[Date]], "mm")</f>
        <v>09</v>
      </c>
    </row>
    <row r="115" spans="2:16" x14ac:dyDescent="0.35">
      <c r="B115" s="17" t="s">
        <v>272</v>
      </c>
      <c r="C115" s="16">
        <v>45550</v>
      </c>
      <c r="D115" s="15" t="s">
        <v>273</v>
      </c>
      <c r="E115" s="15" t="s">
        <v>274</v>
      </c>
      <c r="F115" s="15" t="s">
        <v>79</v>
      </c>
      <c r="G115" s="15" t="s">
        <v>80</v>
      </c>
      <c r="H115" s="15" t="s">
        <v>46</v>
      </c>
      <c r="I115" s="63">
        <v>4</v>
      </c>
      <c r="J115" s="65">
        <v>149.99</v>
      </c>
      <c r="K115" s="15" t="s">
        <v>47</v>
      </c>
      <c r="L115" s="15" t="s">
        <v>67</v>
      </c>
      <c r="M115" s="15" t="s">
        <v>49</v>
      </c>
      <c r="N115" s="16">
        <v>44909</v>
      </c>
      <c r="O115" s="61">
        <v>599.96</v>
      </c>
      <c r="P115" s="15" t="str">
        <f>TEXT(Table2[[#This Row],[Date]], "mm")</f>
        <v>09</v>
      </c>
    </row>
    <row r="116" spans="2:16" x14ac:dyDescent="0.35">
      <c r="B116" s="17" t="s">
        <v>275</v>
      </c>
      <c r="C116" s="16">
        <v>45551</v>
      </c>
      <c r="D116" s="15" t="s">
        <v>92</v>
      </c>
      <c r="E116" s="15" t="s">
        <v>93</v>
      </c>
      <c r="F116" s="15" t="s">
        <v>44</v>
      </c>
      <c r="G116" s="15" t="s">
        <v>45</v>
      </c>
      <c r="H116" s="15" t="s">
        <v>46</v>
      </c>
      <c r="I116" s="63">
        <v>2</v>
      </c>
      <c r="J116" s="65">
        <v>249.99</v>
      </c>
      <c r="K116" s="15" t="s">
        <v>61</v>
      </c>
      <c r="L116" s="15" t="s">
        <v>62</v>
      </c>
      <c r="M116" s="15" t="s">
        <v>49</v>
      </c>
      <c r="N116" s="16">
        <v>44993</v>
      </c>
      <c r="O116" s="61">
        <v>499.98</v>
      </c>
      <c r="P116" s="15" t="str">
        <f>TEXT(Table2[[#This Row],[Date]], "mm")</f>
        <v>09</v>
      </c>
    </row>
    <row r="117" spans="2:16" x14ac:dyDescent="0.35">
      <c r="B117" s="17" t="s">
        <v>276</v>
      </c>
      <c r="C117" s="16">
        <v>45551</v>
      </c>
      <c r="D117" s="15" t="s">
        <v>181</v>
      </c>
      <c r="E117" s="15" t="s">
        <v>182</v>
      </c>
      <c r="F117" s="15" t="s">
        <v>153</v>
      </c>
      <c r="G117" s="15" t="s">
        <v>154</v>
      </c>
      <c r="H117" s="15" t="s">
        <v>73</v>
      </c>
      <c r="I117" s="63">
        <v>4</v>
      </c>
      <c r="J117" s="65">
        <v>199.99</v>
      </c>
      <c r="K117" s="15" t="s">
        <v>84</v>
      </c>
      <c r="L117" s="15" t="s">
        <v>90</v>
      </c>
      <c r="M117" s="15" t="s">
        <v>49</v>
      </c>
      <c r="N117" s="16">
        <v>44458</v>
      </c>
      <c r="O117" s="61">
        <v>799.96</v>
      </c>
      <c r="P117" s="15" t="str">
        <f>TEXT(Table2[[#This Row],[Date]], "mm")</f>
        <v>09</v>
      </c>
    </row>
    <row r="118" spans="2:16" x14ac:dyDescent="0.35">
      <c r="B118" s="17" t="s">
        <v>277</v>
      </c>
      <c r="C118" s="16">
        <v>45554</v>
      </c>
      <c r="D118" s="15" t="s">
        <v>174</v>
      </c>
      <c r="E118" s="15" t="s">
        <v>175</v>
      </c>
      <c r="F118" s="15" t="s">
        <v>144</v>
      </c>
      <c r="G118" s="15" t="s">
        <v>145</v>
      </c>
      <c r="H118" s="15" t="s">
        <v>46</v>
      </c>
      <c r="I118" s="63">
        <v>5</v>
      </c>
      <c r="J118" s="65">
        <v>89.99</v>
      </c>
      <c r="K118" s="15" t="s">
        <v>53</v>
      </c>
      <c r="L118" s="15" t="s">
        <v>90</v>
      </c>
      <c r="M118" s="15" t="s">
        <v>54</v>
      </c>
      <c r="N118" s="16">
        <v>44446</v>
      </c>
      <c r="O118" s="61">
        <v>449.95</v>
      </c>
      <c r="P118" s="15" t="str">
        <f>TEXT(Table2[[#This Row],[Date]], "mm")</f>
        <v>09</v>
      </c>
    </row>
    <row r="119" spans="2:16" x14ac:dyDescent="0.35">
      <c r="B119" s="17" t="s">
        <v>278</v>
      </c>
      <c r="C119" s="16">
        <v>45554</v>
      </c>
      <c r="D119" s="15" t="s">
        <v>279</v>
      </c>
      <c r="E119" s="15" t="s">
        <v>280</v>
      </c>
      <c r="F119" s="15" t="s">
        <v>79</v>
      </c>
      <c r="G119" s="15" t="s">
        <v>80</v>
      </c>
      <c r="H119" s="15" t="s">
        <v>46</v>
      </c>
      <c r="I119" s="63">
        <v>1</v>
      </c>
      <c r="J119" s="65">
        <v>149.99</v>
      </c>
      <c r="K119" s="15" t="s">
        <v>61</v>
      </c>
      <c r="L119" s="15" t="s">
        <v>90</v>
      </c>
      <c r="M119" s="15" t="s">
        <v>63</v>
      </c>
      <c r="N119" s="16">
        <v>44482</v>
      </c>
      <c r="O119" s="61">
        <v>149.99</v>
      </c>
      <c r="P119" s="15" t="str">
        <f>TEXT(Table2[[#This Row],[Date]], "mm")</f>
        <v>09</v>
      </c>
    </row>
    <row r="120" spans="2:16" x14ac:dyDescent="0.35">
      <c r="B120" s="17" t="s">
        <v>281</v>
      </c>
      <c r="C120" s="16">
        <v>45554</v>
      </c>
      <c r="D120" s="15" t="s">
        <v>99</v>
      </c>
      <c r="E120" s="15" t="s">
        <v>100</v>
      </c>
      <c r="F120" s="15" t="s">
        <v>107</v>
      </c>
      <c r="G120" s="15" t="s">
        <v>108</v>
      </c>
      <c r="H120" s="15" t="s">
        <v>46</v>
      </c>
      <c r="I120" s="63">
        <v>4</v>
      </c>
      <c r="J120" s="65">
        <v>699.99</v>
      </c>
      <c r="K120" s="15" t="s">
        <v>61</v>
      </c>
      <c r="L120" s="15" t="s">
        <v>62</v>
      </c>
      <c r="M120" s="15" t="s">
        <v>49</v>
      </c>
      <c r="N120" s="16">
        <v>44618</v>
      </c>
      <c r="O120" s="61">
        <v>2799.96</v>
      </c>
      <c r="P120" s="15" t="str">
        <f>TEXT(Table2[[#This Row],[Date]], "mm")</f>
        <v>09</v>
      </c>
    </row>
    <row r="121" spans="2:16" x14ac:dyDescent="0.35">
      <c r="B121" s="17" t="s">
        <v>282</v>
      </c>
      <c r="C121" s="16">
        <v>45559</v>
      </c>
      <c r="D121" s="15" t="s">
        <v>261</v>
      </c>
      <c r="E121" s="15" t="s">
        <v>262</v>
      </c>
      <c r="F121" s="15" t="s">
        <v>88</v>
      </c>
      <c r="G121" s="15" t="s">
        <v>89</v>
      </c>
      <c r="H121" s="15" t="s">
        <v>46</v>
      </c>
      <c r="I121" s="63">
        <v>3</v>
      </c>
      <c r="J121" s="65">
        <v>899.99</v>
      </c>
      <c r="K121" s="15" t="s">
        <v>53</v>
      </c>
      <c r="L121" s="15" t="s">
        <v>67</v>
      </c>
      <c r="M121" s="15" t="s">
        <v>63</v>
      </c>
      <c r="N121" s="16">
        <v>45157</v>
      </c>
      <c r="O121" s="61">
        <v>2699.97</v>
      </c>
      <c r="P121" s="15" t="str">
        <f>TEXT(Table2[[#This Row],[Date]], "mm")</f>
        <v>09</v>
      </c>
    </row>
    <row r="122" spans="2:16" x14ac:dyDescent="0.35">
      <c r="B122" s="17" t="s">
        <v>283</v>
      </c>
      <c r="C122" s="16">
        <v>45560</v>
      </c>
      <c r="D122" s="15" t="s">
        <v>139</v>
      </c>
      <c r="E122" s="15" t="s">
        <v>140</v>
      </c>
      <c r="F122" s="15" t="s">
        <v>71</v>
      </c>
      <c r="G122" s="15" t="s">
        <v>72</v>
      </c>
      <c r="H122" s="15" t="s">
        <v>73</v>
      </c>
      <c r="I122" s="63">
        <v>3</v>
      </c>
      <c r="J122" s="65">
        <v>149.99</v>
      </c>
      <c r="K122" s="15" t="s">
        <v>61</v>
      </c>
      <c r="L122" s="15" t="s">
        <v>90</v>
      </c>
      <c r="M122" s="15" t="s">
        <v>49</v>
      </c>
      <c r="N122" s="16">
        <v>44886</v>
      </c>
      <c r="O122" s="61">
        <v>449.97</v>
      </c>
      <c r="P122" s="15" t="str">
        <f>TEXT(Table2[[#This Row],[Date]], "mm")</f>
        <v>09</v>
      </c>
    </row>
    <row r="123" spans="2:16" x14ac:dyDescent="0.35">
      <c r="B123" s="17" t="s">
        <v>284</v>
      </c>
      <c r="C123" s="16">
        <v>45563</v>
      </c>
      <c r="D123" s="15" t="s">
        <v>126</v>
      </c>
      <c r="E123" s="15" t="s">
        <v>127</v>
      </c>
      <c r="F123" s="15" t="s">
        <v>132</v>
      </c>
      <c r="G123" s="15" t="s">
        <v>133</v>
      </c>
      <c r="H123" s="15" t="s">
        <v>73</v>
      </c>
      <c r="I123" s="63">
        <v>2</v>
      </c>
      <c r="J123" s="65">
        <v>299.99</v>
      </c>
      <c r="K123" s="15" t="s">
        <v>84</v>
      </c>
      <c r="L123" s="15" t="s">
        <v>48</v>
      </c>
      <c r="M123" s="15" t="s">
        <v>49</v>
      </c>
      <c r="N123" s="16">
        <v>44569</v>
      </c>
      <c r="O123" s="61">
        <v>599.98</v>
      </c>
      <c r="P123" s="15" t="str">
        <f>TEXT(Table2[[#This Row],[Date]], "mm")</f>
        <v>09</v>
      </c>
    </row>
    <row r="124" spans="2:16" x14ac:dyDescent="0.35">
      <c r="B124" s="17" t="s">
        <v>285</v>
      </c>
      <c r="C124" s="16">
        <v>45564</v>
      </c>
      <c r="D124" s="15" t="s">
        <v>286</v>
      </c>
      <c r="E124" s="15" t="s">
        <v>287</v>
      </c>
      <c r="F124" s="15" t="s">
        <v>153</v>
      </c>
      <c r="G124" s="15" t="s">
        <v>154</v>
      </c>
      <c r="H124" s="15" t="s">
        <v>73</v>
      </c>
      <c r="I124" s="63">
        <v>1</v>
      </c>
      <c r="J124" s="65">
        <v>199.99</v>
      </c>
      <c r="K124" s="15" t="s">
        <v>84</v>
      </c>
      <c r="L124" s="15" t="s">
        <v>90</v>
      </c>
      <c r="M124" s="15" t="s">
        <v>63</v>
      </c>
      <c r="N124" s="16">
        <v>44953</v>
      </c>
      <c r="O124" s="61">
        <v>199.99</v>
      </c>
      <c r="P124" s="15" t="str">
        <f>TEXT(Table2[[#This Row],[Date]], "mm")</f>
        <v>09</v>
      </c>
    </row>
    <row r="125" spans="2:16" x14ac:dyDescent="0.35">
      <c r="B125" s="17" t="s">
        <v>288</v>
      </c>
      <c r="C125" s="16">
        <v>45566</v>
      </c>
      <c r="D125" s="15" t="s">
        <v>69</v>
      </c>
      <c r="E125" s="15" t="s">
        <v>70</v>
      </c>
      <c r="F125" s="15" t="s">
        <v>132</v>
      </c>
      <c r="G125" s="15" t="s">
        <v>133</v>
      </c>
      <c r="H125" s="15" t="s">
        <v>73</v>
      </c>
      <c r="I125" s="63">
        <v>4</v>
      </c>
      <c r="J125" s="65">
        <v>299.99</v>
      </c>
      <c r="K125" s="15" t="s">
        <v>47</v>
      </c>
      <c r="L125" s="15" t="s">
        <v>48</v>
      </c>
      <c r="M125" s="15" t="s">
        <v>54</v>
      </c>
      <c r="N125" s="16">
        <v>44460</v>
      </c>
      <c r="O125" s="61">
        <v>1199.96</v>
      </c>
      <c r="P125" s="15" t="str">
        <f>TEXT(Table2[[#This Row],[Date]], "mm")</f>
        <v>10</v>
      </c>
    </row>
    <row r="126" spans="2:16" x14ac:dyDescent="0.35">
      <c r="B126" s="17" t="s">
        <v>289</v>
      </c>
      <c r="C126" s="16">
        <v>45572</v>
      </c>
      <c r="D126" s="15" t="s">
        <v>116</v>
      </c>
      <c r="E126" s="15" t="s">
        <v>117</v>
      </c>
      <c r="F126" s="15" t="s">
        <v>58</v>
      </c>
      <c r="G126" s="15" t="s">
        <v>59</v>
      </c>
      <c r="H126" s="15" t="s">
        <v>60</v>
      </c>
      <c r="I126" s="63">
        <v>2</v>
      </c>
      <c r="J126" s="65">
        <v>59.99</v>
      </c>
      <c r="K126" s="15" t="s">
        <v>53</v>
      </c>
      <c r="L126" s="15" t="s">
        <v>48</v>
      </c>
      <c r="M126" s="15" t="s">
        <v>49</v>
      </c>
      <c r="N126" s="16">
        <v>44579</v>
      </c>
      <c r="O126" s="61">
        <v>119.98</v>
      </c>
      <c r="P126" s="15" t="str">
        <f>TEXT(Table2[[#This Row],[Date]], "mm")</f>
        <v>10</v>
      </c>
    </row>
    <row r="127" spans="2:16" x14ac:dyDescent="0.35">
      <c r="B127" s="17" t="s">
        <v>290</v>
      </c>
      <c r="C127" s="16">
        <v>45572</v>
      </c>
      <c r="D127" s="15" t="s">
        <v>261</v>
      </c>
      <c r="E127" s="15" t="s">
        <v>262</v>
      </c>
      <c r="F127" s="15" t="s">
        <v>79</v>
      </c>
      <c r="G127" s="15" t="s">
        <v>80</v>
      </c>
      <c r="H127" s="15" t="s">
        <v>46</v>
      </c>
      <c r="I127" s="63">
        <v>4</v>
      </c>
      <c r="J127" s="65">
        <v>149.99</v>
      </c>
      <c r="K127" s="15" t="s">
        <v>53</v>
      </c>
      <c r="L127" s="15" t="s">
        <v>67</v>
      </c>
      <c r="M127" s="15" t="s">
        <v>54</v>
      </c>
      <c r="N127" s="16">
        <v>45076</v>
      </c>
      <c r="O127" s="61">
        <v>599.96</v>
      </c>
      <c r="P127" s="15" t="str">
        <f>TEXT(Table2[[#This Row],[Date]], "mm")</f>
        <v>10</v>
      </c>
    </row>
    <row r="128" spans="2:16" x14ac:dyDescent="0.35">
      <c r="B128" s="17" t="s">
        <v>291</v>
      </c>
      <c r="C128" s="16">
        <v>45573</v>
      </c>
      <c r="D128" s="15" t="s">
        <v>238</v>
      </c>
      <c r="E128" s="15" t="s">
        <v>239</v>
      </c>
      <c r="F128" s="15" t="s">
        <v>107</v>
      </c>
      <c r="G128" s="15" t="s">
        <v>108</v>
      </c>
      <c r="H128" s="15" t="s">
        <v>46</v>
      </c>
      <c r="I128" s="63">
        <v>2</v>
      </c>
      <c r="J128" s="65">
        <v>699.99</v>
      </c>
      <c r="K128" s="15" t="s">
        <v>84</v>
      </c>
      <c r="L128" s="15" t="s">
        <v>90</v>
      </c>
      <c r="M128" s="15" t="s">
        <v>54</v>
      </c>
      <c r="N128" s="16">
        <v>45274</v>
      </c>
      <c r="O128" s="61">
        <v>1399.98</v>
      </c>
      <c r="P128" s="15" t="str">
        <f>TEXT(Table2[[#This Row],[Date]], "mm")</f>
        <v>10</v>
      </c>
    </row>
    <row r="129" spans="2:16" x14ac:dyDescent="0.35">
      <c r="B129" s="17" t="s">
        <v>292</v>
      </c>
      <c r="C129" s="16">
        <v>45573</v>
      </c>
      <c r="D129" s="15" t="s">
        <v>258</v>
      </c>
      <c r="E129" s="15" t="s">
        <v>259</v>
      </c>
      <c r="F129" s="15" t="s">
        <v>71</v>
      </c>
      <c r="G129" s="15" t="s">
        <v>72</v>
      </c>
      <c r="H129" s="15" t="s">
        <v>73</v>
      </c>
      <c r="I129" s="63">
        <v>3</v>
      </c>
      <c r="J129" s="65">
        <v>149.99</v>
      </c>
      <c r="K129" s="15" t="s">
        <v>53</v>
      </c>
      <c r="L129" s="15" t="s">
        <v>62</v>
      </c>
      <c r="M129" s="15" t="s">
        <v>63</v>
      </c>
      <c r="N129" s="16">
        <v>44940</v>
      </c>
      <c r="O129" s="61">
        <v>449.97</v>
      </c>
      <c r="P129" s="15" t="str">
        <f>TEXT(Table2[[#This Row],[Date]], "mm")</f>
        <v>10</v>
      </c>
    </row>
    <row r="130" spans="2:16" x14ac:dyDescent="0.35">
      <c r="B130" s="17" t="s">
        <v>293</v>
      </c>
      <c r="C130" s="16">
        <v>45576</v>
      </c>
      <c r="D130" s="15" t="s">
        <v>174</v>
      </c>
      <c r="E130" s="15" t="s">
        <v>175</v>
      </c>
      <c r="F130" s="15" t="s">
        <v>132</v>
      </c>
      <c r="G130" s="15" t="s">
        <v>133</v>
      </c>
      <c r="H130" s="15" t="s">
        <v>73</v>
      </c>
      <c r="I130" s="63">
        <v>3</v>
      </c>
      <c r="J130" s="65">
        <v>299.99</v>
      </c>
      <c r="K130" s="15" t="s">
        <v>53</v>
      </c>
      <c r="L130" s="15" t="s">
        <v>48</v>
      </c>
      <c r="M130" s="15" t="s">
        <v>63</v>
      </c>
      <c r="N130" s="16">
        <v>45174</v>
      </c>
      <c r="O130" s="61">
        <v>899.97</v>
      </c>
      <c r="P130" s="15" t="str">
        <f>TEXT(Table2[[#This Row],[Date]], "mm")</f>
        <v>10</v>
      </c>
    </row>
    <row r="131" spans="2:16" x14ac:dyDescent="0.35">
      <c r="B131" s="17" t="s">
        <v>294</v>
      </c>
      <c r="C131" s="16">
        <v>45579</v>
      </c>
      <c r="D131" s="15" t="s">
        <v>110</v>
      </c>
      <c r="E131" s="15" t="s">
        <v>111</v>
      </c>
      <c r="F131" s="15" t="s">
        <v>88</v>
      </c>
      <c r="G131" s="15" t="s">
        <v>89</v>
      </c>
      <c r="H131" s="15" t="s">
        <v>46</v>
      </c>
      <c r="I131" s="63">
        <v>3</v>
      </c>
      <c r="J131" s="65">
        <v>899.99</v>
      </c>
      <c r="K131" s="15" t="s">
        <v>61</v>
      </c>
      <c r="L131" s="15" t="s">
        <v>77</v>
      </c>
      <c r="M131" s="15" t="s">
        <v>49</v>
      </c>
      <c r="N131" s="16">
        <v>45215</v>
      </c>
      <c r="O131" s="61">
        <v>2699.97</v>
      </c>
      <c r="P131" s="15" t="str">
        <f>TEXT(Table2[[#This Row],[Date]], "mm")</f>
        <v>10</v>
      </c>
    </row>
    <row r="132" spans="2:16" x14ac:dyDescent="0.35">
      <c r="B132" s="17" t="s">
        <v>295</v>
      </c>
      <c r="C132" s="16">
        <v>45581</v>
      </c>
      <c r="D132" s="15" t="s">
        <v>123</v>
      </c>
      <c r="E132" s="15" t="s">
        <v>124</v>
      </c>
      <c r="F132" s="15" t="s">
        <v>107</v>
      </c>
      <c r="G132" s="15" t="s">
        <v>108</v>
      </c>
      <c r="H132" s="15" t="s">
        <v>46</v>
      </c>
      <c r="I132" s="63">
        <v>5</v>
      </c>
      <c r="J132" s="65">
        <v>699.99</v>
      </c>
      <c r="K132" s="15" t="s">
        <v>47</v>
      </c>
      <c r="L132" s="15" t="s">
        <v>90</v>
      </c>
      <c r="M132" s="15" t="s">
        <v>63</v>
      </c>
      <c r="N132" s="16">
        <v>45008</v>
      </c>
      <c r="O132" s="61">
        <v>3499.95</v>
      </c>
      <c r="P132" s="15" t="str">
        <f>TEXT(Table2[[#This Row],[Date]], "mm")</f>
        <v>10</v>
      </c>
    </row>
    <row r="133" spans="2:16" x14ac:dyDescent="0.35">
      <c r="B133" s="17" t="s">
        <v>296</v>
      </c>
      <c r="C133" s="16">
        <v>45581</v>
      </c>
      <c r="D133" s="15" t="s">
        <v>198</v>
      </c>
      <c r="E133" s="15" t="s">
        <v>199</v>
      </c>
      <c r="F133" s="15" t="s">
        <v>107</v>
      </c>
      <c r="G133" s="15" t="s">
        <v>108</v>
      </c>
      <c r="H133" s="15" t="s">
        <v>46</v>
      </c>
      <c r="I133" s="63">
        <v>4</v>
      </c>
      <c r="J133" s="65">
        <v>699.99</v>
      </c>
      <c r="K133" s="15" t="s">
        <v>53</v>
      </c>
      <c r="L133" s="15" t="s">
        <v>48</v>
      </c>
      <c r="M133" s="15" t="s">
        <v>49</v>
      </c>
      <c r="N133" s="16">
        <v>45385</v>
      </c>
      <c r="O133" s="61">
        <v>2799.96</v>
      </c>
      <c r="P133" s="15" t="str">
        <f>TEXT(Table2[[#This Row],[Date]], "mm")</f>
        <v>10</v>
      </c>
    </row>
    <row r="134" spans="2:16" x14ac:dyDescent="0.35">
      <c r="B134" s="17" t="s">
        <v>297</v>
      </c>
      <c r="C134" s="16">
        <v>45581</v>
      </c>
      <c r="D134" s="15" t="s">
        <v>177</v>
      </c>
      <c r="E134" s="15" t="s">
        <v>178</v>
      </c>
      <c r="F134" s="15" t="s">
        <v>88</v>
      </c>
      <c r="G134" s="15" t="s">
        <v>89</v>
      </c>
      <c r="H134" s="15" t="s">
        <v>46</v>
      </c>
      <c r="I134" s="63">
        <v>1</v>
      </c>
      <c r="J134" s="65">
        <v>899.99</v>
      </c>
      <c r="K134" s="15" t="s">
        <v>53</v>
      </c>
      <c r="L134" s="15" t="s">
        <v>90</v>
      </c>
      <c r="M134" s="15" t="s">
        <v>63</v>
      </c>
      <c r="N134" s="16">
        <v>45369</v>
      </c>
      <c r="O134" s="61">
        <v>899.99</v>
      </c>
      <c r="P134" s="15" t="str">
        <f>TEXT(Table2[[#This Row],[Date]], "mm")</f>
        <v>10</v>
      </c>
    </row>
    <row r="135" spans="2:16" x14ac:dyDescent="0.35">
      <c r="B135" s="17" t="s">
        <v>298</v>
      </c>
      <c r="C135" s="16">
        <v>45583</v>
      </c>
      <c r="D135" s="15" t="s">
        <v>253</v>
      </c>
      <c r="E135" s="15" t="s">
        <v>254</v>
      </c>
      <c r="F135" s="15" t="s">
        <v>79</v>
      </c>
      <c r="G135" s="15" t="s">
        <v>80</v>
      </c>
      <c r="H135" s="15" t="s">
        <v>46</v>
      </c>
      <c r="I135" s="63">
        <v>2</v>
      </c>
      <c r="J135" s="65">
        <v>149.99</v>
      </c>
      <c r="K135" s="15" t="s">
        <v>53</v>
      </c>
      <c r="L135" s="15" t="s">
        <v>77</v>
      </c>
      <c r="M135" s="15" t="s">
        <v>49</v>
      </c>
      <c r="N135" s="16">
        <v>44916</v>
      </c>
      <c r="O135" s="61">
        <v>299.98</v>
      </c>
      <c r="P135" s="15" t="str">
        <f>TEXT(Table2[[#This Row],[Date]], "mm")</f>
        <v>10</v>
      </c>
    </row>
    <row r="136" spans="2:16" x14ac:dyDescent="0.35">
      <c r="B136" s="17" t="s">
        <v>299</v>
      </c>
      <c r="C136" s="16">
        <v>45586</v>
      </c>
      <c r="D136" s="15" t="s">
        <v>253</v>
      </c>
      <c r="E136" s="15" t="s">
        <v>254</v>
      </c>
      <c r="F136" s="15" t="s">
        <v>144</v>
      </c>
      <c r="G136" s="15" t="s">
        <v>145</v>
      </c>
      <c r="H136" s="15" t="s">
        <v>46</v>
      </c>
      <c r="I136" s="63">
        <v>3</v>
      </c>
      <c r="J136" s="65">
        <v>89.99</v>
      </c>
      <c r="K136" s="15" t="s">
        <v>61</v>
      </c>
      <c r="L136" s="15" t="s">
        <v>48</v>
      </c>
      <c r="M136" s="15" t="s">
        <v>49</v>
      </c>
      <c r="N136" s="16">
        <v>44551</v>
      </c>
      <c r="O136" s="61">
        <v>269.97000000000003</v>
      </c>
      <c r="P136" s="15" t="str">
        <f>TEXT(Table2[[#This Row],[Date]], "mm")</f>
        <v>10</v>
      </c>
    </row>
    <row r="137" spans="2:16" x14ac:dyDescent="0.35">
      <c r="B137" s="17" t="s">
        <v>300</v>
      </c>
      <c r="C137" s="16">
        <v>45588</v>
      </c>
      <c r="D137" s="15" t="s">
        <v>65</v>
      </c>
      <c r="E137" s="15" t="s">
        <v>66</v>
      </c>
      <c r="F137" s="15" t="s">
        <v>79</v>
      </c>
      <c r="G137" s="15" t="s">
        <v>80</v>
      </c>
      <c r="H137" s="15" t="s">
        <v>46</v>
      </c>
      <c r="I137" s="63">
        <v>2</v>
      </c>
      <c r="J137" s="65">
        <v>149.99</v>
      </c>
      <c r="K137" s="15" t="s">
        <v>61</v>
      </c>
      <c r="L137" s="15" t="s">
        <v>48</v>
      </c>
      <c r="M137" s="15" t="s">
        <v>49</v>
      </c>
      <c r="N137" s="16">
        <v>44473</v>
      </c>
      <c r="O137" s="61">
        <v>299.98</v>
      </c>
      <c r="P137" s="15" t="str">
        <f>TEXT(Table2[[#This Row],[Date]], "mm")</f>
        <v>10</v>
      </c>
    </row>
    <row r="138" spans="2:16" x14ac:dyDescent="0.35">
      <c r="B138" s="17" t="s">
        <v>301</v>
      </c>
      <c r="C138" s="16">
        <v>45588</v>
      </c>
      <c r="D138" s="15" t="s">
        <v>181</v>
      </c>
      <c r="E138" s="15" t="s">
        <v>182</v>
      </c>
      <c r="F138" s="15" t="s">
        <v>107</v>
      </c>
      <c r="G138" s="15" t="s">
        <v>108</v>
      </c>
      <c r="H138" s="15" t="s">
        <v>46</v>
      </c>
      <c r="I138" s="63">
        <v>2</v>
      </c>
      <c r="J138" s="65">
        <v>699.99</v>
      </c>
      <c r="K138" s="15" t="s">
        <v>47</v>
      </c>
      <c r="L138" s="15" t="s">
        <v>48</v>
      </c>
      <c r="M138" s="15" t="s">
        <v>49</v>
      </c>
      <c r="N138" s="16">
        <v>44992</v>
      </c>
      <c r="O138" s="61">
        <v>1399.98</v>
      </c>
      <c r="P138" s="15" t="str">
        <f>TEXT(Table2[[#This Row],[Date]], "mm")</f>
        <v>10</v>
      </c>
    </row>
    <row r="139" spans="2:16" x14ac:dyDescent="0.35">
      <c r="B139" s="17" t="s">
        <v>302</v>
      </c>
      <c r="C139" s="16">
        <v>45589</v>
      </c>
      <c r="D139" s="15" t="s">
        <v>185</v>
      </c>
      <c r="E139" s="15" t="s">
        <v>186</v>
      </c>
      <c r="F139" s="15" t="s">
        <v>107</v>
      </c>
      <c r="G139" s="15" t="s">
        <v>108</v>
      </c>
      <c r="H139" s="15" t="s">
        <v>46</v>
      </c>
      <c r="I139" s="63">
        <v>5</v>
      </c>
      <c r="J139" s="65">
        <v>699.99</v>
      </c>
      <c r="K139" s="15" t="s">
        <v>47</v>
      </c>
      <c r="L139" s="15" t="s">
        <v>67</v>
      </c>
      <c r="M139" s="15" t="s">
        <v>54</v>
      </c>
      <c r="N139" s="16">
        <v>44635</v>
      </c>
      <c r="O139" s="61">
        <v>3499.95</v>
      </c>
      <c r="P139" s="15" t="str">
        <f>TEXT(Table2[[#This Row],[Date]], "mm")</f>
        <v>10</v>
      </c>
    </row>
    <row r="140" spans="2:16" x14ac:dyDescent="0.35">
      <c r="B140" s="17" t="s">
        <v>303</v>
      </c>
      <c r="C140" s="16">
        <v>45592</v>
      </c>
      <c r="D140" s="15" t="s">
        <v>198</v>
      </c>
      <c r="E140" s="15" t="s">
        <v>199</v>
      </c>
      <c r="F140" s="15" t="s">
        <v>144</v>
      </c>
      <c r="G140" s="15" t="s">
        <v>145</v>
      </c>
      <c r="H140" s="15" t="s">
        <v>46</v>
      </c>
      <c r="I140" s="63">
        <v>3</v>
      </c>
      <c r="J140" s="65">
        <v>89.99</v>
      </c>
      <c r="K140" s="15" t="s">
        <v>53</v>
      </c>
      <c r="L140" s="15" t="s">
        <v>67</v>
      </c>
      <c r="M140" s="15" t="s">
        <v>63</v>
      </c>
      <c r="N140" s="16">
        <v>44615</v>
      </c>
      <c r="O140" s="61">
        <v>269.97000000000003</v>
      </c>
      <c r="P140" s="15" t="str">
        <f>TEXT(Table2[[#This Row],[Date]], "mm")</f>
        <v>10</v>
      </c>
    </row>
    <row r="141" spans="2:16" x14ac:dyDescent="0.35">
      <c r="B141" s="17" t="s">
        <v>304</v>
      </c>
      <c r="C141" s="16">
        <v>45597</v>
      </c>
      <c r="D141" s="15" t="s">
        <v>42</v>
      </c>
      <c r="E141" s="15" t="s">
        <v>43</v>
      </c>
      <c r="F141" s="15" t="s">
        <v>44</v>
      </c>
      <c r="G141" s="15" t="s">
        <v>45</v>
      </c>
      <c r="H141" s="15" t="s">
        <v>46</v>
      </c>
      <c r="I141" s="63">
        <v>5</v>
      </c>
      <c r="J141" s="65">
        <v>249.99</v>
      </c>
      <c r="K141" s="15" t="s">
        <v>53</v>
      </c>
      <c r="L141" s="15" t="s">
        <v>62</v>
      </c>
      <c r="M141" s="15" t="s">
        <v>63</v>
      </c>
      <c r="N141" s="16">
        <v>44881</v>
      </c>
      <c r="O141" s="61">
        <v>1249.95</v>
      </c>
      <c r="P141" s="15" t="str">
        <f>TEXT(Table2[[#This Row],[Date]], "mm")</f>
        <v>11</v>
      </c>
    </row>
    <row r="142" spans="2:16" x14ac:dyDescent="0.35">
      <c r="B142" s="17" t="s">
        <v>305</v>
      </c>
      <c r="C142" s="16">
        <v>45600</v>
      </c>
      <c r="D142" s="15" t="s">
        <v>92</v>
      </c>
      <c r="E142" s="15" t="s">
        <v>93</v>
      </c>
      <c r="F142" s="15" t="s">
        <v>132</v>
      </c>
      <c r="G142" s="15" t="s">
        <v>133</v>
      </c>
      <c r="H142" s="15" t="s">
        <v>73</v>
      </c>
      <c r="I142" s="63">
        <v>3</v>
      </c>
      <c r="J142" s="65">
        <v>299.99</v>
      </c>
      <c r="K142" s="15" t="s">
        <v>53</v>
      </c>
      <c r="L142" s="15" t="s">
        <v>62</v>
      </c>
      <c r="M142" s="15" t="s">
        <v>63</v>
      </c>
      <c r="N142" s="16">
        <v>44502</v>
      </c>
      <c r="O142" s="61">
        <v>899.97</v>
      </c>
      <c r="P142" s="15" t="str">
        <f>TEXT(Table2[[#This Row],[Date]], "mm")</f>
        <v>11</v>
      </c>
    </row>
    <row r="143" spans="2:16" x14ac:dyDescent="0.35">
      <c r="B143" s="17" t="s">
        <v>306</v>
      </c>
      <c r="C143" s="16">
        <v>45603</v>
      </c>
      <c r="D143" s="15" t="s">
        <v>126</v>
      </c>
      <c r="E143" s="15" t="s">
        <v>127</v>
      </c>
      <c r="F143" s="15" t="s">
        <v>144</v>
      </c>
      <c r="G143" s="15" t="s">
        <v>145</v>
      </c>
      <c r="H143" s="15" t="s">
        <v>46</v>
      </c>
      <c r="I143" s="63">
        <v>3</v>
      </c>
      <c r="J143" s="65">
        <v>89.99</v>
      </c>
      <c r="K143" s="15" t="s">
        <v>53</v>
      </c>
      <c r="L143" s="15" t="s">
        <v>67</v>
      </c>
      <c r="M143" s="15" t="s">
        <v>54</v>
      </c>
      <c r="N143" s="16">
        <v>44420</v>
      </c>
      <c r="O143" s="61">
        <v>269.97000000000003</v>
      </c>
      <c r="P143" s="15" t="str">
        <f>TEXT(Table2[[#This Row],[Date]], "mm")</f>
        <v>11</v>
      </c>
    </row>
    <row r="144" spans="2:16" x14ac:dyDescent="0.35">
      <c r="B144" s="17" t="s">
        <v>307</v>
      </c>
      <c r="C144" s="16">
        <v>45604</v>
      </c>
      <c r="D144" s="15" t="s">
        <v>116</v>
      </c>
      <c r="E144" s="15" t="s">
        <v>117</v>
      </c>
      <c r="F144" s="15" t="s">
        <v>71</v>
      </c>
      <c r="G144" s="15" t="s">
        <v>72</v>
      </c>
      <c r="H144" s="15" t="s">
        <v>73</v>
      </c>
      <c r="I144" s="63">
        <v>2</v>
      </c>
      <c r="J144" s="65">
        <v>149.99</v>
      </c>
      <c r="K144" s="15" t="s">
        <v>53</v>
      </c>
      <c r="L144" s="15" t="s">
        <v>77</v>
      </c>
      <c r="M144" s="15" t="s">
        <v>54</v>
      </c>
      <c r="N144" s="16">
        <v>44848</v>
      </c>
      <c r="O144" s="61">
        <v>299.98</v>
      </c>
      <c r="P144" s="15" t="str">
        <f>TEXT(Table2[[#This Row],[Date]], "mm")</f>
        <v>11</v>
      </c>
    </row>
    <row r="145" spans="2:16" x14ac:dyDescent="0.35">
      <c r="B145" s="17" t="s">
        <v>308</v>
      </c>
      <c r="C145" s="16">
        <v>45605</v>
      </c>
      <c r="D145" s="15" t="s">
        <v>212</v>
      </c>
      <c r="E145" s="15" t="s">
        <v>213</v>
      </c>
      <c r="F145" s="15" t="s">
        <v>44</v>
      </c>
      <c r="G145" s="15" t="s">
        <v>45</v>
      </c>
      <c r="H145" s="15" t="s">
        <v>46</v>
      </c>
      <c r="I145" s="63">
        <v>1</v>
      </c>
      <c r="J145" s="65">
        <v>249.99</v>
      </c>
      <c r="K145" s="15" t="s">
        <v>53</v>
      </c>
      <c r="L145" s="15" t="s">
        <v>67</v>
      </c>
      <c r="M145" s="15" t="s">
        <v>54</v>
      </c>
      <c r="N145" s="16">
        <v>44828</v>
      </c>
      <c r="O145" s="61">
        <v>249.99</v>
      </c>
      <c r="P145" s="15" t="str">
        <f>TEXT(Table2[[#This Row],[Date]], "mm")</f>
        <v>11</v>
      </c>
    </row>
    <row r="146" spans="2:16" x14ac:dyDescent="0.35">
      <c r="B146" s="17" t="s">
        <v>309</v>
      </c>
      <c r="C146" s="16">
        <v>45607</v>
      </c>
      <c r="D146" s="15" t="s">
        <v>99</v>
      </c>
      <c r="E146" s="15" t="s">
        <v>100</v>
      </c>
      <c r="F146" s="15" t="s">
        <v>79</v>
      </c>
      <c r="G146" s="15" t="s">
        <v>80</v>
      </c>
      <c r="H146" s="15" t="s">
        <v>46</v>
      </c>
      <c r="I146" s="63">
        <v>3</v>
      </c>
      <c r="J146" s="65">
        <v>149.99</v>
      </c>
      <c r="K146" s="15" t="s">
        <v>47</v>
      </c>
      <c r="L146" s="15" t="s">
        <v>67</v>
      </c>
      <c r="M146" s="15" t="s">
        <v>49</v>
      </c>
      <c r="N146" s="16">
        <v>44769</v>
      </c>
      <c r="O146" s="61">
        <v>449.97</v>
      </c>
      <c r="P146" s="15" t="str">
        <f>TEXT(Table2[[#This Row],[Date]], "mm")</f>
        <v>11</v>
      </c>
    </row>
    <row r="147" spans="2:16" x14ac:dyDescent="0.35">
      <c r="B147" s="17" t="s">
        <v>310</v>
      </c>
      <c r="C147" s="16">
        <v>45607</v>
      </c>
      <c r="D147" s="15" t="s">
        <v>42</v>
      </c>
      <c r="E147" s="15" t="s">
        <v>43</v>
      </c>
      <c r="F147" s="15" t="s">
        <v>58</v>
      </c>
      <c r="G147" s="15" t="s">
        <v>59</v>
      </c>
      <c r="H147" s="15" t="s">
        <v>60</v>
      </c>
      <c r="I147" s="63">
        <v>5</v>
      </c>
      <c r="J147" s="65">
        <v>59.99</v>
      </c>
      <c r="K147" s="15" t="s">
        <v>61</v>
      </c>
      <c r="L147" s="15" t="s">
        <v>77</v>
      </c>
      <c r="M147" s="15" t="s">
        <v>54</v>
      </c>
      <c r="N147" s="16">
        <v>44694</v>
      </c>
      <c r="O147" s="61">
        <v>299.95</v>
      </c>
      <c r="P147" s="15" t="str">
        <f>TEXT(Table2[[#This Row],[Date]], "mm")</f>
        <v>11</v>
      </c>
    </row>
    <row r="148" spans="2:16" x14ac:dyDescent="0.35">
      <c r="B148" s="17" t="s">
        <v>311</v>
      </c>
      <c r="C148" s="16">
        <v>45607</v>
      </c>
      <c r="D148" s="15" t="s">
        <v>126</v>
      </c>
      <c r="E148" s="15" t="s">
        <v>127</v>
      </c>
      <c r="F148" s="15" t="s">
        <v>44</v>
      </c>
      <c r="G148" s="15" t="s">
        <v>45</v>
      </c>
      <c r="H148" s="15" t="s">
        <v>46</v>
      </c>
      <c r="I148" s="63">
        <v>4</v>
      </c>
      <c r="J148" s="65">
        <v>249.99</v>
      </c>
      <c r="K148" s="15" t="s">
        <v>53</v>
      </c>
      <c r="L148" s="15" t="s">
        <v>77</v>
      </c>
      <c r="M148" s="15" t="s">
        <v>63</v>
      </c>
      <c r="N148" s="16">
        <v>44659</v>
      </c>
      <c r="O148" s="61">
        <v>999.96</v>
      </c>
      <c r="P148" s="15" t="str">
        <f>TEXT(Table2[[#This Row],[Date]], "mm")</f>
        <v>11</v>
      </c>
    </row>
    <row r="149" spans="2:16" x14ac:dyDescent="0.35">
      <c r="B149" s="17" t="s">
        <v>312</v>
      </c>
      <c r="C149" s="16">
        <v>45608</v>
      </c>
      <c r="D149" s="15" t="s">
        <v>181</v>
      </c>
      <c r="E149" s="15" t="s">
        <v>182</v>
      </c>
      <c r="F149" s="15" t="s">
        <v>71</v>
      </c>
      <c r="G149" s="15" t="s">
        <v>72</v>
      </c>
      <c r="H149" s="15" t="s">
        <v>73</v>
      </c>
      <c r="I149" s="63">
        <v>5</v>
      </c>
      <c r="J149" s="65">
        <v>149.99</v>
      </c>
      <c r="K149" s="15" t="s">
        <v>61</v>
      </c>
      <c r="L149" s="15" t="s">
        <v>48</v>
      </c>
      <c r="M149" s="15" t="s">
        <v>49</v>
      </c>
      <c r="N149" s="16">
        <v>44901</v>
      </c>
      <c r="O149" s="61">
        <v>749.95</v>
      </c>
      <c r="P149" s="15" t="str">
        <f>TEXT(Table2[[#This Row],[Date]], "mm")</f>
        <v>11</v>
      </c>
    </row>
    <row r="150" spans="2:16" x14ac:dyDescent="0.35">
      <c r="B150" s="17" t="s">
        <v>313</v>
      </c>
      <c r="C150" s="16">
        <v>45608</v>
      </c>
      <c r="D150" s="15" t="s">
        <v>110</v>
      </c>
      <c r="E150" s="15" t="s">
        <v>111</v>
      </c>
      <c r="F150" s="15" t="s">
        <v>58</v>
      </c>
      <c r="G150" s="15" t="s">
        <v>59</v>
      </c>
      <c r="H150" s="15" t="s">
        <v>60</v>
      </c>
      <c r="I150" s="63">
        <v>3</v>
      </c>
      <c r="J150" s="65">
        <v>59.99</v>
      </c>
      <c r="K150" s="15" t="s">
        <v>84</v>
      </c>
      <c r="L150" s="15" t="s">
        <v>62</v>
      </c>
      <c r="M150" s="15" t="s">
        <v>63</v>
      </c>
      <c r="N150" s="16">
        <v>45260</v>
      </c>
      <c r="O150" s="61">
        <v>179.97</v>
      </c>
      <c r="P150" s="15" t="str">
        <f>TEXT(Table2[[#This Row],[Date]], "mm")</f>
        <v>11</v>
      </c>
    </row>
    <row r="151" spans="2:16" x14ac:dyDescent="0.35">
      <c r="B151" s="17" t="s">
        <v>314</v>
      </c>
      <c r="C151" s="16">
        <v>45613</v>
      </c>
      <c r="D151" s="15" t="s">
        <v>261</v>
      </c>
      <c r="E151" s="15" t="s">
        <v>262</v>
      </c>
      <c r="F151" s="15" t="s">
        <v>71</v>
      </c>
      <c r="G151" s="15" t="s">
        <v>72</v>
      </c>
      <c r="H151" s="15" t="s">
        <v>73</v>
      </c>
      <c r="I151" s="63">
        <v>5</v>
      </c>
      <c r="J151" s="65">
        <v>149.99</v>
      </c>
      <c r="K151" s="15" t="s">
        <v>47</v>
      </c>
      <c r="L151" s="15" t="s">
        <v>67</v>
      </c>
      <c r="M151" s="15" t="s">
        <v>49</v>
      </c>
      <c r="N151" s="16">
        <v>44869</v>
      </c>
      <c r="O151" s="61">
        <v>749.95</v>
      </c>
      <c r="P151" s="15" t="str">
        <f>TEXT(Table2[[#This Row],[Date]], "mm")</f>
        <v>11</v>
      </c>
    </row>
    <row r="152" spans="2:16" x14ac:dyDescent="0.35">
      <c r="B152" s="17" t="s">
        <v>315</v>
      </c>
      <c r="C152" s="16">
        <v>45613</v>
      </c>
      <c r="D152" s="15" t="s">
        <v>113</v>
      </c>
      <c r="E152" s="15" t="s">
        <v>114</v>
      </c>
      <c r="F152" s="15" t="s">
        <v>107</v>
      </c>
      <c r="G152" s="15" t="s">
        <v>108</v>
      </c>
      <c r="H152" s="15" t="s">
        <v>46</v>
      </c>
      <c r="I152" s="63">
        <v>2</v>
      </c>
      <c r="J152" s="65">
        <v>699.99</v>
      </c>
      <c r="K152" s="15" t="s">
        <v>61</v>
      </c>
      <c r="L152" s="15" t="s">
        <v>77</v>
      </c>
      <c r="M152" s="15" t="s">
        <v>63</v>
      </c>
      <c r="N152" s="16">
        <v>44770</v>
      </c>
      <c r="O152" s="61">
        <v>1399.98</v>
      </c>
      <c r="P152" s="15" t="str">
        <f>TEXT(Table2[[#This Row],[Date]], "mm")</f>
        <v>11</v>
      </c>
    </row>
    <row r="153" spans="2:16" x14ac:dyDescent="0.35">
      <c r="B153" s="17" t="s">
        <v>316</v>
      </c>
      <c r="C153" s="16">
        <v>45617</v>
      </c>
      <c r="D153" s="15" t="s">
        <v>150</v>
      </c>
      <c r="E153" s="15" t="s">
        <v>151</v>
      </c>
      <c r="F153" s="15" t="s">
        <v>153</v>
      </c>
      <c r="G153" s="15" t="s">
        <v>154</v>
      </c>
      <c r="H153" s="15" t="s">
        <v>73</v>
      </c>
      <c r="I153" s="63">
        <v>4</v>
      </c>
      <c r="J153" s="65">
        <v>199.99</v>
      </c>
      <c r="K153" s="15" t="s">
        <v>84</v>
      </c>
      <c r="L153" s="15" t="s">
        <v>48</v>
      </c>
      <c r="M153" s="15" t="s">
        <v>54</v>
      </c>
      <c r="N153" s="16">
        <v>44427</v>
      </c>
      <c r="O153" s="61">
        <v>799.96</v>
      </c>
      <c r="P153" s="15" t="str">
        <f>TEXT(Table2[[#This Row],[Date]], "mm")</f>
        <v>11</v>
      </c>
    </row>
    <row r="154" spans="2:16" x14ac:dyDescent="0.35">
      <c r="B154" s="17" t="s">
        <v>317</v>
      </c>
      <c r="C154" s="16">
        <v>45619</v>
      </c>
      <c r="D154" s="15" t="s">
        <v>219</v>
      </c>
      <c r="E154" s="15" t="s">
        <v>220</v>
      </c>
      <c r="F154" s="15" t="s">
        <v>58</v>
      </c>
      <c r="G154" s="15" t="s">
        <v>59</v>
      </c>
      <c r="H154" s="15" t="s">
        <v>60</v>
      </c>
      <c r="I154" s="63">
        <v>1</v>
      </c>
      <c r="J154" s="65">
        <v>59.99</v>
      </c>
      <c r="K154" s="15" t="s">
        <v>84</v>
      </c>
      <c r="L154" s="15" t="s">
        <v>77</v>
      </c>
      <c r="M154" s="15" t="s">
        <v>63</v>
      </c>
      <c r="N154" s="16">
        <v>44560</v>
      </c>
      <c r="O154" s="61">
        <v>59.99</v>
      </c>
      <c r="P154" s="15" t="str">
        <f>TEXT(Table2[[#This Row],[Date]], "mm")</f>
        <v>11</v>
      </c>
    </row>
    <row r="155" spans="2:16" x14ac:dyDescent="0.35">
      <c r="B155" s="17" t="s">
        <v>318</v>
      </c>
      <c r="C155" s="16">
        <v>45619</v>
      </c>
      <c r="D155" s="15" t="s">
        <v>181</v>
      </c>
      <c r="E155" s="15" t="s">
        <v>182</v>
      </c>
      <c r="F155" s="15" t="s">
        <v>107</v>
      </c>
      <c r="G155" s="15" t="s">
        <v>108</v>
      </c>
      <c r="H155" s="15" t="s">
        <v>46</v>
      </c>
      <c r="I155" s="63">
        <v>3</v>
      </c>
      <c r="J155" s="65">
        <v>699.99</v>
      </c>
      <c r="K155" s="15" t="s">
        <v>61</v>
      </c>
      <c r="L155" s="15" t="s">
        <v>77</v>
      </c>
      <c r="M155" s="15" t="s">
        <v>63</v>
      </c>
      <c r="N155" s="16">
        <v>44583</v>
      </c>
      <c r="O155" s="61">
        <v>2099.9699999999998</v>
      </c>
      <c r="P155" s="15" t="str">
        <f>TEXT(Table2[[#This Row],[Date]], "mm")</f>
        <v>11</v>
      </c>
    </row>
    <row r="156" spans="2:16" x14ac:dyDescent="0.35">
      <c r="B156" s="17" t="s">
        <v>319</v>
      </c>
      <c r="C156" s="16">
        <v>45622</v>
      </c>
      <c r="D156" s="15" t="s">
        <v>320</v>
      </c>
      <c r="E156" s="15" t="s">
        <v>321</v>
      </c>
      <c r="F156" s="15" t="s">
        <v>44</v>
      </c>
      <c r="G156" s="15" t="s">
        <v>45</v>
      </c>
      <c r="H156" s="15" t="s">
        <v>46</v>
      </c>
      <c r="I156" s="63">
        <v>5</v>
      </c>
      <c r="J156" s="65">
        <v>249.99</v>
      </c>
      <c r="K156" s="15" t="s">
        <v>53</v>
      </c>
      <c r="L156" s="15" t="s">
        <v>67</v>
      </c>
      <c r="M156" s="15" t="s">
        <v>49</v>
      </c>
      <c r="N156" s="16">
        <v>44873</v>
      </c>
      <c r="O156" s="61">
        <v>1249.95</v>
      </c>
      <c r="P156" s="15" t="str">
        <f>TEXT(Table2[[#This Row],[Date]], "mm")</f>
        <v>11</v>
      </c>
    </row>
    <row r="157" spans="2:16" x14ac:dyDescent="0.35">
      <c r="B157" s="17" t="s">
        <v>322</v>
      </c>
      <c r="C157" s="16">
        <v>45623</v>
      </c>
      <c r="D157" s="15" t="s">
        <v>139</v>
      </c>
      <c r="E157" s="15" t="s">
        <v>140</v>
      </c>
      <c r="F157" s="15" t="s">
        <v>71</v>
      </c>
      <c r="G157" s="15" t="s">
        <v>72</v>
      </c>
      <c r="H157" s="15" t="s">
        <v>73</v>
      </c>
      <c r="I157" s="63">
        <v>2</v>
      </c>
      <c r="J157" s="65">
        <v>149.99</v>
      </c>
      <c r="K157" s="15" t="s">
        <v>47</v>
      </c>
      <c r="L157" s="15" t="s">
        <v>62</v>
      </c>
      <c r="M157" s="15" t="s">
        <v>63</v>
      </c>
      <c r="N157" s="16">
        <v>45101</v>
      </c>
      <c r="O157" s="61">
        <v>299.98</v>
      </c>
      <c r="P157" s="15" t="str">
        <f>TEXT(Table2[[#This Row],[Date]], "mm")</f>
        <v>11</v>
      </c>
    </row>
    <row r="158" spans="2:16" x14ac:dyDescent="0.35">
      <c r="B158" s="17" t="s">
        <v>323</v>
      </c>
      <c r="C158" s="16">
        <v>45627</v>
      </c>
      <c r="D158" s="15" t="s">
        <v>56</v>
      </c>
      <c r="E158" s="15" t="s">
        <v>57</v>
      </c>
      <c r="F158" s="15" t="s">
        <v>132</v>
      </c>
      <c r="G158" s="15" t="s">
        <v>133</v>
      </c>
      <c r="H158" s="15" t="s">
        <v>73</v>
      </c>
      <c r="I158" s="63">
        <v>3</v>
      </c>
      <c r="J158" s="65">
        <v>299.99</v>
      </c>
      <c r="K158" s="15" t="s">
        <v>47</v>
      </c>
      <c r="L158" s="15" t="s">
        <v>62</v>
      </c>
      <c r="M158" s="15" t="s">
        <v>54</v>
      </c>
      <c r="N158" s="16">
        <v>44659</v>
      </c>
      <c r="O158" s="61">
        <v>899.97</v>
      </c>
      <c r="P158" s="15" t="str">
        <f>TEXT(Table2[[#This Row],[Date]], "mm")</f>
        <v>12</v>
      </c>
    </row>
    <row r="159" spans="2:16" x14ac:dyDescent="0.35">
      <c r="B159" s="17" t="s">
        <v>324</v>
      </c>
      <c r="C159" s="16">
        <v>45627</v>
      </c>
      <c r="D159" s="15" t="s">
        <v>82</v>
      </c>
      <c r="E159" s="15" t="s">
        <v>83</v>
      </c>
      <c r="F159" s="15" t="s">
        <v>44</v>
      </c>
      <c r="G159" s="15" t="s">
        <v>45</v>
      </c>
      <c r="H159" s="15" t="s">
        <v>46</v>
      </c>
      <c r="I159" s="63">
        <v>5</v>
      </c>
      <c r="J159" s="65">
        <v>249.99</v>
      </c>
      <c r="K159" s="15" t="s">
        <v>47</v>
      </c>
      <c r="L159" s="15" t="s">
        <v>48</v>
      </c>
      <c r="M159" s="15" t="s">
        <v>54</v>
      </c>
      <c r="N159" s="16">
        <v>44485</v>
      </c>
      <c r="O159" s="61">
        <v>1249.95</v>
      </c>
      <c r="P159" s="15" t="str">
        <f>TEXT(Table2[[#This Row],[Date]], "mm")</f>
        <v>12</v>
      </c>
    </row>
    <row r="160" spans="2:16" x14ac:dyDescent="0.35">
      <c r="B160" s="17" t="s">
        <v>325</v>
      </c>
      <c r="C160" s="16">
        <v>45627</v>
      </c>
      <c r="D160" s="15" t="s">
        <v>51</v>
      </c>
      <c r="E160" s="15" t="s">
        <v>52</v>
      </c>
      <c r="F160" s="15" t="s">
        <v>79</v>
      </c>
      <c r="G160" s="15" t="s">
        <v>80</v>
      </c>
      <c r="H160" s="15" t="s">
        <v>46</v>
      </c>
      <c r="I160" s="63">
        <v>2</v>
      </c>
      <c r="J160" s="65">
        <v>149.99</v>
      </c>
      <c r="K160" s="15" t="s">
        <v>47</v>
      </c>
      <c r="L160" s="15" t="s">
        <v>62</v>
      </c>
      <c r="M160" s="15" t="s">
        <v>54</v>
      </c>
      <c r="N160" s="16">
        <v>44475</v>
      </c>
      <c r="O160" s="61">
        <v>299.98</v>
      </c>
      <c r="P160" s="15" t="str">
        <f>TEXT(Table2[[#This Row],[Date]], "mm")</f>
        <v>12</v>
      </c>
    </row>
    <row r="161" spans="2:16" x14ac:dyDescent="0.35">
      <c r="B161" s="17" t="s">
        <v>326</v>
      </c>
      <c r="C161" s="16">
        <v>45627</v>
      </c>
      <c r="D161" s="15" t="s">
        <v>113</v>
      </c>
      <c r="E161" s="15" t="s">
        <v>114</v>
      </c>
      <c r="F161" s="15" t="s">
        <v>107</v>
      </c>
      <c r="G161" s="15" t="s">
        <v>108</v>
      </c>
      <c r="H161" s="15" t="s">
        <v>46</v>
      </c>
      <c r="I161" s="63">
        <v>5</v>
      </c>
      <c r="J161" s="65">
        <v>699.99</v>
      </c>
      <c r="K161" s="15" t="s">
        <v>84</v>
      </c>
      <c r="L161" s="15" t="s">
        <v>77</v>
      </c>
      <c r="M161" s="15" t="s">
        <v>63</v>
      </c>
      <c r="N161" s="16">
        <v>44944</v>
      </c>
      <c r="O161" s="61">
        <v>3499.95</v>
      </c>
      <c r="P161" s="15" t="str">
        <f>TEXT(Table2[[#This Row],[Date]], "mm")</f>
        <v>12</v>
      </c>
    </row>
    <row r="162" spans="2:16" x14ac:dyDescent="0.35">
      <c r="B162" s="17" t="s">
        <v>327</v>
      </c>
      <c r="C162" s="16">
        <v>45629</v>
      </c>
      <c r="D162" s="15" t="s">
        <v>279</v>
      </c>
      <c r="E162" s="15" t="s">
        <v>280</v>
      </c>
      <c r="F162" s="15" t="s">
        <v>44</v>
      </c>
      <c r="G162" s="15" t="s">
        <v>45</v>
      </c>
      <c r="H162" s="15" t="s">
        <v>46</v>
      </c>
      <c r="I162" s="63">
        <v>4</v>
      </c>
      <c r="J162" s="65">
        <v>249.99</v>
      </c>
      <c r="K162" s="15" t="s">
        <v>61</v>
      </c>
      <c r="L162" s="15" t="s">
        <v>90</v>
      </c>
      <c r="M162" s="15" t="s">
        <v>54</v>
      </c>
      <c r="N162" s="16">
        <v>45098</v>
      </c>
      <c r="O162" s="61">
        <v>999.96</v>
      </c>
      <c r="P162" s="15" t="str">
        <f>TEXT(Table2[[#This Row],[Date]], "mm")</f>
        <v>12</v>
      </c>
    </row>
    <row r="163" spans="2:16" x14ac:dyDescent="0.35">
      <c r="B163" s="17" t="s">
        <v>328</v>
      </c>
      <c r="C163" s="16">
        <v>45630</v>
      </c>
      <c r="D163" s="15" t="s">
        <v>75</v>
      </c>
      <c r="E163" s="15" t="s">
        <v>76</v>
      </c>
      <c r="F163" s="15" t="s">
        <v>107</v>
      </c>
      <c r="G163" s="15" t="s">
        <v>108</v>
      </c>
      <c r="H163" s="15" t="s">
        <v>46</v>
      </c>
      <c r="I163" s="63">
        <v>4</v>
      </c>
      <c r="J163" s="65">
        <v>699.99</v>
      </c>
      <c r="K163" s="15" t="s">
        <v>53</v>
      </c>
      <c r="L163" s="15" t="s">
        <v>67</v>
      </c>
      <c r="M163" s="15" t="s">
        <v>54</v>
      </c>
      <c r="N163" s="16">
        <v>44703</v>
      </c>
      <c r="O163" s="61">
        <v>2799.96</v>
      </c>
      <c r="P163" s="15" t="str">
        <f>TEXT(Table2[[#This Row],[Date]], "mm")</f>
        <v>12</v>
      </c>
    </row>
    <row r="164" spans="2:16" x14ac:dyDescent="0.35">
      <c r="B164" s="17" t="s">
        <v>329</v>
      </c>
      <c r="C164" s="16">
        <v>45635</v>
      </c>
      <c r="D164" s="15" t="s">
        <v>135</v>
      </c>
      <c r="E164" s="15" t="s">
        <v>136</v>
      </c>
      <c r="F164" s="15" t="s">
        <v>44</v>
      </c>
      <c r="G164" s="15" t="s">
        <v>45</v>
      </c>
      <c r="H164" s="15" t="s">
        <v>46</v>
      </c>
      <c r="I164" s="63">
        <v>2</v>
      </c>
      <c r="J164" s="65">
        <v>249.99</v>
      </c>
      <c r="K164" s="15" t="s">
        <v>53</v>
      </c>
      <c r="L164" s="15" t="s">
        <v>48</v>
      </c>
      <c r="M164" s="15" t="s">
        <v>54</v>
      </c>
      <c r="N164" s="16">
        <v>44396</v>
      </c>
      <c r="O164" s="61">
        <v>499.98</v>
      </c>
      <c r="P164" s="15" t="str">
        <f>TEXT(Table2[[#This Row],[Date]], "mm")</f>
        <v>12</v>
      </c>
    </row>
    <row r="165" spans="2:16" x14ac:dyDescent="0.35">
      <c r="B165" s="17" t="s">
        <v>330</v>
      </c>
      <c r="C165" s="16">
        <v>45635</v>
      </c>
      <c r="D165" s="15" t="s">
        <v>331</v>
      </c>
      <c r="E165" s="15" t="s">
        <v>332</v>
      </c>
      <c r="F165" s="15" t="s">
        <v>58</v>
      </c>
      <c r="G165" s="15" t="s">
        <v>59</v>
      </c>
      <c r="H165" s="15" t="s">
        <v>60</v>
      </c>
      <c r="I165" s="63">
        <v>3</v>
      </c>
      <c r="J165" s="65">
        <v>59.99</v>
      </c>
      <c r="K165" s="15" t="s">
        <v>47</v>
      </c>
      <c r="L165" s="15" t="s">
        <v>48</v>
      </c>
      <c r="M165" s="15" t="s">
        <v>54</v>
      </c>
      <c r="N165" s="16">
        <v>45052</v>
      </c>
      <c r="O165" s="61">
        <v>179.97</v>
      </c>
      <c r="P165" s="15" t="str">
        <f>TEXT(Table2[[#This Row],[Date]], "mm")</f>
        <v>12</v>
      </c>
    </row>
    <row r="166" spans="2:16" x14ac:dyDescent="0.35">
      <c r="B166" s="17" t="s">
        <v>333</v>
      </c>
      <c r="C166" s="16">
        <v>45635</v>
      </c>
      <c r="D166" s="15" t="s">
        <v>168</v>
      </c>
      <c r="E166" s="15" t="s">
        <v>169</v>
      </c>
      <c r="F166" s="15" t="s">
        <v>141</v>
      </c>
      <c r="G166" s="15" t="s">
        <v>142</v>
      </c>
      <c r="H166" s="15" t="s">
        <v>60</v>
      </c>
      <c r="I166" s="63">
        <v>4</v>
      </c>
      <c r="J166" s="65">
        <v>79.989999999999995</v>
      </c>
      <c r="K166" s="15" t="s">
        <v>84</v>
      </c>
      <c r="L166" s="15" t="s">
        <v>90</v>
      </c>
      <c r="M166" s="15" t="s">
        <v>63</v>
      </c>
      <c r="N166" s="16">
        <v>44921</v>
      </c>
      <c r="O166" s="61">
        <v>319.95999999999998</v>
      </c>
      <c r="P166" s="15" t="str">
        <f>TEXT(Table2[[#This Row],[Date]], "mm")</f>
        <v>12</v>
      </c>
    </row>
    <row r="167" spans="2:16" x14ac:dyDescent="0.35">
      <c r="B167" s="17" t="s">
        <v>334</v>
      </c>
      <c r="C167" s="16">
        <v>45636</v>
      </c>
      <c r="D167" s="15" t="s">
        <v>147</v>
      </c>
      <c r="E167" s="15" t="s">
        <v>148</v>
      </c>
      <c r="F167" s="15" t="s">
        <v>141</v>
      </c>
      <c r="G167" s="15" t="s">
        <v>142</v>
      </c>
      <c r="H167" s="15" t="s">
        <v>60</v>
      </c>
      <c r="I167" s="63">
        <v>3</v>
      </c>
      <c r="J167" s="65">
        <v>79.989999999999995</v>
      </c>
      <c r="K167" s="15" t="s">
        <v>84</v>
      </c>
      <c r="L167" s="15" t="s">
        <v>90</v>
      </c>
      <c r="M167" s="15" t="s">
        <v>63</v>
      </c>
      <c r="N167" s="16">
        <v>44779</v>
      </c>
      <c r="O167" s="61">
        <v>239.97</v>
      </c>
      <c r="P167" s="15" t="str">
        <f>TEXT(Table2[[#This Row],[Date]], "mm")</f>
        <v>12</v>
      </c>
    </row>
    <row r="168" spans="2:16" x14ac:dyDescent="0.35">
      <c r="B168" s="17" t="s">
        <v>335</v>
      </c>
      <c r="C168" s="16">
        <v>45638</v>
      </c>
      <c r="D168" s="15" t="s">
        <v>99</v>
      </c>
      <c r="E168" s="15" t="s">
        <v>100</v>
      </c>
      <c r="F168" s="15" t="s">
        <v>88</v>
      </c>
      <c r="G168" s="15" t="s">
        <v>89</v>
      </c>
      <c r="H168" s="15" t="s">
        <v>46</v>
      </c>
      <c r="I168" s="63">
        <v>2</v>
      </c>
      <c r="J168" s="65">
        <v>899.99</v>
      </c>
      <c r="K168" s="15" t="s">
        <v>47</v>
      </c>
      <c r="L168" s="15" t="s">
        <v>67</v>
      </c>
      <c r="M168" s="15" t="s">
        <v>49</v>
      </c>
      <c r="N168" s="16">
        <v>44406</v>
      </c>
      <c r="O168" s="61">
        <v>1799.98</v>
      </c>
      <c r="P168" s="15" t="str">
        <f>TEXT(Table2[[#This Row],[Date]], "mm")</f>
        <v>12</v>
      </c>
    </row>
    <row r="169" spans="2:16" x14ac:dyDescent="0.35">
      <c r="B169" s="17" t="s">
        <v>336</v>
      </c>
      <c r="C169" s="16">
        <v>45641</v>
      </c>
      <c r="D169" s="15" t="s">
        <v>209</v>
      </c>
      <c r="E169" s="15" t="s">
        <v>210</v>
      </c>
      <c r="F169" s="15" t="s">
        <v>71</v>
      </c>
      <c r="G169" s="15" t="s">
        <v>72</v>
      </c>
      <c r="H169" s="15" t="s">
        <v>73</v>
      </c>
      <c r="I169" s="63">
        <v>1</v>
      </c>
      <c r="J169" s="65">
        <v>149.99</v>
      </c>
      <c r="K169" s="15" t="s">
        <v>84</v>
      </c>
      <c r="L169" s="15" t="s">
        <v>90</v>
      </c>
      <c r="M169" s="15" t="s">
        <v>63</v>
      </c>
      <c r="N169" s="16">
        <v>45200</v>
      </c>
      <c r="O169" s="61">
        <v>149.99</v>
      </c>
      <c r="P169" s="15" t="str">
        <f>TEXT(Table2[[#This Row],[Date]], "mm")</f>
        <v>12</v>
      </c>
    </row>
    <row r="170" spans="2:16" x14ac:dyDescent="0.35">
      <c r="B170" s="17" t="s">
        <v>337</v>
      </c>
      <c r="C170" s="16">
        <v>45641</v>
      </c>
      <c r="D170" s="15" t="s">
        <v>165</v>
      </c>
      <c r="E170" s="15" t="s">
        <v>166</v>
      </c>
      <c r="F170" s="15" t="s">
        <v>132</v>
      </c>
      <c r="G170" s="15" t="s">
        <v>133</v>
      </c>
      <c r="H170" s="15" t="s">
        <v>73</v>
      </c>
      <c r="I170" s="63">
        <v>2</v>
      </c>
      <c r="J170" s="65">
        <v>299.99</v>
      </c>
      <c r="K170" s="15" t="s">
        <v>47</v>
      </c>
      <c r="L170" s="15" t="s">
        <v>90</v>
      </c>
      <c r="M170" s="15" t="s">
        <v>54</v>
      </c>
      <c r="N170" s="16">
        <v>44724</v>
      </c>
      <c r="O170" s="61">
        <v>599.98</v>
      </c>
      <c r="P170" s="15" t="str">
        <f>TEXT(Table2[[#This Row],[Date]], "mm")</f>
        <v>12</v>
      </c>
    </row>
    <row r="171" spans="2:16" x14ac:dyDescent="0.35">
      <c r="B171" s="17" t="s">
        <v>338</v>
      </c>
      <c r="C171" s="16">
        <v>45644</v>
      </c>
      <c r="D171" s="15" t="s">
        <v>159</v>
      </c>
      <c r="E171" s="15" t="s">
        <v>160</v>
      </c>
      <c r="F171" s="15" t="s">
        <v>58</v>
      </c>
      <c r="G171" s="15" t="s">
        <v>59</v>
      </c>
      <c r="H171" s="15" t="s">
        <v>60</v>
      </c>
      <c r="I171" s="63">
        <v>2</v>
      </c>
      <c r="J171" s="65">
        <v>59.99</v>
      </c>
      <c r="K171" s="15" t="s">
        <v>47</v>
      </c>
      <c r="L171" s="15" t="s">
        <v>77</v>
      </c>
      <c r="M171" s="15" t="s">
        <v>49</v>
      </c>
      <c r="N171" s="16">
        <v>45191</v>
      </c>
      <c r="O171" s="61">
        <v>119.98</v>
      </c>
      <c r="P171" s="15" t="str">
        <f>TEXT(Table2[[#This Row],[Date]], "mm")</f>
        <v>12</v>
      </c>
    </row>
    <row r="172" spans="2:16" x14ac:dyDescent="0.35">
      <c r="B172" s="17" t="s">
        <v>339</v>
      </c>
      <c r="C172" s="16">
        <v>45645</v>
      </c>
      <c r="D172" s="15" t="s">
        <v>209</v>
      </c>
      <c r="E172" s="15" t="s">
        <v>210</v>
      </c>
      <c r="F172" s="15" t="s">
        <v>144</v>
      </c>
      <c r="G172" s="15" t="s">
        <v>145</v>
      </c>
      <c r="H172" s="15" t="s">
        <v>46</v>
      </c>
      <c r="I172" s="63">
        <v>1</v>
      </c>
      <c r="J172" s="65">
        <v>89.99</v>
      </c>
      <c r="K172" s="15" t="s">
        <v>84</v>
      </c>
      <c r="L172" s="15" t="s">
        <v>48</v>
      </c>
      <c r="M172" s="15" t="s">
        <v>63</v>
      </c>
      <c r="N172" s="16">
        <v>44760</v>
      </c>
      <c r="O172" s="61">
        <v>89.99</v>
      </c>
      <c r="P172" s="15" t="str">
        <f>TEXT(Table2[[#This Row],[Date]], "mm")</f>
        <v>12</v>
      </c>
    </row>
    <row r="173" spans="2:16" x14ac:dyDescent="0.35">
      <c r="B173" s="17" t="s">
        <v>340</v>
      </c>
      <c r="C173" s="16">
        <v>45645</v>
      </c>
      <c r="D173" s="15" t="s">
        <v>174</v>
      </c>
      <c r="E173" s="15" t="s">
        <v>175</v>
      </c>
      <c r="F173" s="15" t="s">
        <v>88</v>
      </c>
      <c r="G173" s="15" t="s">
        <v>89</v>
      </c>
      <c r="H173" s="15" t="s">
        <v>46</v>
      </c>
      <c r="I173" s="63">
        <v>5</v>
      </c>
      <c r="J173" s="65">
        <v>899.99</v>
      </c>
      <c r="K173" s="15" t="s">
        <v>84</v>
      </c>
      <c r="L173" s="15" t="s">
        <v>90</v>
      </c>
      <c r="M173" s="15" t="s">
        <v>63</v>
      </c>
      <c r="N173" s="16">
        <v>44625</v>
      </c>
      <c r="O173" s="61">
        <v>4499.95</v>
      </c>
      <c r="P173" s="15" t="str">
        <f>TEXT(Table2[[#This Row],[Date]], "mm")</f>
        <v>12</v>
      </c>
    </row>
    <row r="174" spans="2:16" x14ac:dyDescent="0.35">
      <c r="B174" s="17" t="s">
        <v>341</v>
      </c>
      <c r="C174" s="16">
        <v>45646</v>
      </c>
      <c r="D174" s="15" t="s">
        <v>69</v>
      </c>
      <c r="E174" s="15" t="s">
        <v>70</v>
      </c>
      <c r="F174" s="15" t="s">
        <v>71</v>
      </c>
      <c r="G174" s="15" t="s">
        <v>72</v>
      </c>
      <c r="H174" s="15" t="s">
        <v>73</v>
      </c>
      <c r="I174" s="63">
        <v>2</v>
      </c>
      <c r="J174" s="65">
        <v>149.99</v>
      </c>
      <c r="K174" s="15" t="s">
        <v>47</v>
      </c>
      <c r="L174" s="15" t="s">
        <v>62</v>
      </c>
      <c r="M174" s="15" t="s">
        <v>49</v>
      </c>
      <c r="N174" s="16">
        <v>45239</v>
      </c>
      <c r="O174" s="61">
        <v>299.98</v>
      </c>
      <c r="P174" s="15" t="str">
        <f>TEXT(Table2[[#This Row],[Date]], "mm")</f>
        <v>12</v>
      </c>
    </row>
    <row r="175" spans="2:16" x14ac:dyDescent="0.35">
      <c r="B175" s="17" t="s">
        <v>342</v>
      </c>
      <c r="C175" s="16">
        <v>45648</v>
      </c>
      <c r="D175" s="15" t="s">
        <v>139</v>
      </c>
      <c r="E175" s="15" t="s">
        <v>140</v>
      </c>
      <c r="F175" s="15" t="s">
        <v>79</v>
      </c>
      <c r="G175" s="15" t="s">
        <v>80</v>
      </c>
      <c r="H175" s="15" t="s">
        <v>46</v>
      </c>
      <c r="I175" s="63">
        <v>2</v>
      </c>
      <c r="J175" s="65">
        <v>149.99</v>
      </c>
      <c r="K175" s="15" t="s">
        <v>84</v>
      </c>
      <c r="L175" s="15" t="s">
        <v>77</v>
      </c>
      <c r="M175" s="15" t="s">
        <v>54</v>
      </c>
      <c r="N175" s="16">
        <v>45280</v>
      </c>
      <c r="O175" s="61">
        <v>299.98</v>
      </c>
      <c r="P175" s="15" t="str">
        <f>TEXT(Table2[[#This Row],[Date]], "mm")</f>
        <v>12</v>
      </c>
    </row>
    <row r="176" spans="2:16" x14ac:dyDescent="0.35">
      <c r="B176" s="17" t="s">
        <v>343</v>
      </c>
      <c r="C176" s="16">
        <v>45648</v>
      </c>
      <c r="D176" s="15" t="s">
        <v>209</v>
      </c>
      <c r="E176" s="15" t="s">
        <v>210</v>
      </c>
      <c r="F176" s="15" t="s">
        <v>71</v>
      </c>
      <c r="G176" s="15" t="s">
        <v>72</v>
      </c>
      <c r="H176" s="15" t="s">
        <v>73</v>
      </c>
      <c r="I176" s="63">
        <v>3</v>
      </c>
      <c r="J176" s="65">
        <v>149.99</v>
      </c>
      <c r="K176" s="15" t="s">
        <v>84</v>
      </c>
      <c r="L176" s="15" t="s">
        <v>67</v>
      </c>
      <c r="M176" s="15" t="s">
        <v>63</v>
      </c>
      <c r="N176" s="16">
        <v>44522</v>
      </c>
      <c r="O176" s="61">
        <v>449.97</v>
      </c>
      <c r="P176" s="15" t="str">
        <f>TEXT(Table2[[#This Row],[Date]], "mm")</f>
        <v>12</v>
      </c>
    </row>
    <row r="177" spans="2:16" x14ac:dyDescent="0.35">
      <c r="B177" s="17" t="s">
        <v>344</v>
      </c>
      <c r="C177" s="16">
        <v>45649</v>
      </c>
      <c r="D177" s="15" t="s">
        <v>56</v>
      </c>
      <c r="E177" s="15" t="s">
        <v>57</v>
      </c>
      <c r="F177" s="15" t="s">
        <v>132</v>
      </c>
      <c r="G177" s="15" t="s">
        <v>133</v>
      </c>
      <c r="H177" s="15" t="s">
        <v>73</v>
      </c>
      <c r="I177" s="63">
        <v>2</v>
      </c>
      <c r="J177" s="65">
        <v>299.99</v>
      </c>
      <c r="K177" s="15" t="s">
        <v>61</v>
      </c>
      <c r="L177" s="15" t="s">
        <v>62</v>
      </c>
      <c r="M177" s="15" t="s">
        <v>49</v>
      </c>
      <c r="N177" s="16">
        <v>44721</v>
      </c>
      <c r="O177" s="61">
        <v>599.98</v>
      </c>
      <c r="P177" s="15" t="str">
        <f>TEXT(Table2[[#This Row],[Date]], "mm")</f>
        <v>12</v>
      </c>
    </row>
    <row r="178" spans="2:16" x14ac:dyDescent="0.35">
      <c r="B178" s="17" t="s">
        <v>345</v>
      </c>
      <c r="C178" s="16">
        <v>45654</v>
      </c>
      <c r="D178" s="15" t="s">
        <v>69</v>
      </c>
      <c r="E178" s="15" t="s">
        <v>70</v>
      </c>
      <c r="F178" s="15" t="s">
        <v>132</v>
      </c>
      <c r="G178" s="15" t="s">
        <v>133</v>
      </c>
      <c r="H178" s="15" t="s">
        <v>73</v>
      </c>
      <c r="I178" s="63">
        <v>2</v>
      </c>
      <c r="J178" s="65">
        <v>299.99</v>
      </c>
      <c r="K178" s="15" t="s">
        <v>47</v>
      </c>
      <c r="L178" s="15" t="s">
        <v>77</v>
      </c>
      <c r="M178" s="15" t="s">
        <v>49</v>
      </c>
      <c r="N178" s="16">
        <v>44771</v>
      </c>
      <c r="O178" s="61">
        <v>599.98</v>
      </c>
      <c r="P178" s="15" t="str">
        <f>TEXT(Table2[[#This Row],[Date]], "mm")</f>
        <v>12</v>
      </c>
    </row>
    <row r="179" spans="2:16" x14ac:dyDescent="0.35">
      <c r="B179" s="17" t="s">
        <v>346</v>
      </c>
      <c r="C179" s="16">
        <v>45654</v>
      </c>
      <c r="D179" s="15" t="s">
        <v>147</v>
      </c>
      <c r="E179" s="15" t="s">
        <v>148</v>
      </c>
      <c r="F179" s="15" t="s">
        <v>153</v>
      </c>
      <c r="G179" s="15" t="s">
        <v>154</v>
      </c>
      <c r="H179" s="15" t="s">
        <v>73</v>
      </c>
      <c r="I179" s="63">
        <v>4</v>
      </c>
      <c r="J179" s="65">
        <v>199.99</v>
      </c>
      <c r="K179" s="15" t="s">
        <v>53</v>
      </c>
      <c r="L179" s="15" t="s">
        <v>48</v>
      </c>
      <c r="M179" s="15" t="s">
        <v>49</v>
      </c>
      <c r="N179" s="16">
        <v>44523</v>
      </c>
      <c r="O179" s="61">
        <v>799.96</v>
      </c>
      <c r="P179" s="15" t="str">
        <f>TEXT(Table2[[#This Row],[Date]], "mm")</f>
        <v>12</v>
      </c>
    </row>
    <row r="180" spans="2:16" x14ac:dyDescent="0.35">
      <c r="B180" s="17" t="s">
        <v>347</v>
      </c>
      <c r="C180" s="16">
        <v>45655</v>
      </c>
      <c r="D180" s="15" t="s">
        <v>86</v>
      </c>
      <c r="E180" s="15" t="s">
        <v>87</v>
      </c>
      <c r="F180" s="15" t="s">
        <v>144</v>
      </c>
      <c r="G180" s="15" t="s">
        <v>145</v>
      </c>
      <c r="H180" s="15" t="s">
        <v>46</v>
      </c>
      <c r="I180" s="63">
        <v>1</v>
      </c>
      <c r="J180" s="65">
        <v>89.99</v>
      </c>
      <c r="K180" s="15" t="s">
        <v>53</v>
      </c>
      <c r="L180" s="15" t="s">
        <v>62</v>
      </c>
      <c r="M180" s="15" t="s">
        <v>54</v>
      </c>
      <c r="N180" s="16">
        <v>44591</v>
      </c>
      <c r="O180" s="61">
        <v>89.99</v>
      </c>
      <c r="P180" s="15" t="str">
        <f>TEXT(Table2[[#This Row],[Date]], "mm")</f>
        <v>12</v>
      </c>
    </row>
    <row r="181" spans="2:16" x14ac:dyDescent="0.35">
      <c r="B181" s="17" t="s">
        <v>348</v>
      </c>
      <c r="C181" s="16">
        <v>45655</v>
      </c>
      <c r="D181" s="15" t="s">
        <v>135</v>
      </c>
      <c r="E181" s="15" t="s">
        <v>136</v>
      </c>
      <c r="F181" s="15" t="s">
        <v>71</v>
      </c>
      <c r="G181" s="15" t="s">
        <v>72</v>
      </c>
      <c r="H181" s="15" t="s">
        <v>73</v>
      </c>
      <c r="I181" s="63">
        <v>5</v>
      </c>
      <c r="J181" s="65">
        <v>149.99</v>
      </c>
      <c r="K181" s="15" t="s">
        <v>47</v>
      </c>
      <c r="L181" s="15" t="s">
        <v>48</v>
      </c>
      <c r="M181" s="15" t="s">
        <v>54</v>
      </c>
      <c r="N181" s="16">
        <v>45347</v>
      </c>
      <c r="O181" s="61">
        <v>749.95</v>
      </c>
      <c r="P181" s="15" t="str">
        <f>TEXT(Table2[[#This Row],[Date]], "mm")</f>
        <v>12</v>
      </c>
    </row>
    <row r="182" spans="2:16" x14ac:dyDescent="0.35">
      <c r="B182" s="17" t="s">
        <v>349</v>
      </c>
      <c r="C182" s="16">
        <v>45657</v>
      </c>
      <c r="D182" s="15" t="s">
        <v>113</v>
      </c>
      <c r="E182" s="15" t="s">
        <v>114</v>
      </c>
      <c r="F182" s="15" t="s">
        <v>88</v>
      </c>
      <c r="G182" s="15" t="s">
        <v>89</v>
      </c>
      <c r="H182" s="15" t="s">
        <v>46</v>
      </c>
      <c r="I182" s="63">
        <v>1</v>
      </c>
      <c r="J182" s="65">
        <v>899.99</v>
      </c>
      <c r="K182" s="15" t="s">
        <v>61</v>
      </c>
      <c r="L182" s="15" t="s">
        <v>67</v>
      </c>
      <c r="M182" s="15" t="s">
        <v>54</v>
      </c>
      <c r="N182" s="16">
        <v>45050</v>
      </c>
      <c r="O182" s="61">
        <v>899.99</v>
      </c>
      <c r="P182" s="15" t="str">
        <f>TEXT(Table2[[#This Row],[Date]], "mm")</f>
        <v>12</v>
      </c>
    </row>
    <row r="183" spans="2:16" x14ac:dyDescent="0.35">
      <c r="B183" s="17" t="s">
        <v>350</v>
      </c>
      <c r="C183" s="16">
        <v>45660</v>
      </c>
      <c r="D183" s="15" t="s">
        <v>174</v>
      </c>
      <c r="E183" s="15" t="s">
        <v>175</v>
      </c>
      <c r="F183" s="15" t="s">
        <v>144</v>
      </c>
      <c r="G183" s="15" t="s">
        <v>145</v>
      </c>
      <c r="H183" s="15" t="s">
        <v>46</v>
      </c>
      <c r="I183" s="63">
        <v>2</v>
      </c>
      <c r="J183" s="65">
        <v>89.99</v>
      </c>
      <c r="K183" s="15" t="s">
        <v>53</v>
      </c>
      <c r="L183" s="15" t="s">
        <v>62</v>
      </c>
      <c r="M183" s="15" t="s">
        <v>54</v>
      </c>
      <c r="N183" s="16">
        <v>44564</v>
      </c>
      <c r="O183" s="61">
        <v>179.98</v>
      </c>
      <c r="P183" s="15" t="str">
        <f>TEXT(Table2[[#This Row],[Date]], "mm")</f>
        <v>01</v>
      </c>
    </row>
    <row r="184" spans="2:16" x14ac:dyDescent="0.35">
      <c r="B184" s="17" t="s">
        <v>351</v>
      </c>
      <c r="C184" s="16">
        <v>45661</v>
      </c>
      <c r="D184" s="15" t="s">
        <v>352</v>
      </c>
      <c r="E184" s="15" t="s">
        <v>353</v>
      </c>
      <c r="F184" s="15" t="s">
        <v>88</v>
      </c>
      <c r="G184" s="15" t="s">
        <v>89</v>
      </c>
      <c r="H184" s="15" t="s">
        <v>46</v>
      </c>
      <c r="I184" s="63">
        <v>1</v>
      </c>
      <c r="J184" s="65">
        <v>899.99</v>
      </c>
      <c r="K184" s="15" t="s">
        <v>61</v>
      </c>
      <c r="L184" s="15" t="s">
        <v>67</v>
      </c>
      <c r="M184" s="15" t="s">
        <v>63</v>
      </c>
      <c r="N184" s="16">
        <v>44752</v>
      </c>
      <c r="O184" s="61">
        <v>899.99</v>
      </c>
      <c r="P184" s="15" t="str">
        <f>TEXT(Table2[[#This Row],[Date]], "mm")</f>
        <v>01</v>
      </c>
    </row>
    <row r="185" spans="2:16" x14ac:dyDescent="0.35">
      <c r="B185" s="17" t="s">
        <v>354</v>
      </c>
      <c r="C185" s="16">
        <v>45663</v>
      </c>
      <c r="D185" s="15" t="s">
        <v>156</v>
      </c>
      <c r="E185" s="15" t="s">
        <v>157</v>
      </c>
      <c r="F185" s="15" t="s">
        <v>79</v>
      </c>
      <c r="G185" s="15" t="s">
        <v>80</v>
      </c>
      <c r="H185" s="15" t="s">
        <v>46</v>
      </c>
      <c r="I185" s="63">
        <v>5</v>
      </c>
      <c r="J185" s="65">
        <v>149.99</v>
      </c>
      <c r="K185" s="15" t="s">
        <v>61</v>
      </c>
      <c r="L185" s="15" t="s">
        <v>90</v>
      </c>
      <c r="M185" s="15" t="s">
        <v>54</v>
      </c>
      <c r="N185" s="16">
        <v>44824</v>
      </c>
      <c r="O185" s="61">
        <v>749.95</v>
      </c>
      <c r="P185" s="15" t="str">
        <f>TEXT(Table2[[#This Row],[Date]], "mm")</f>
        <v>01</v>
      </c>
    </row>
    <row r="186" spans="2:16" x14ac:dyDescent="0.35">
      <c r="B186" s="17" t="s">
        <v>355</v>
      </c>
      <c r="C186" s="16">
        <v>45663</v>
      </c>
      <c r="D186" s="15" t="s">
        <v>69</v>
      </c>
      <c r="E186" s="15" t="s">
        <v>70</v>
      </c>
      <c r="F186" s="15" t="s">
        <v>132</v>
      </c>
      <c r="G186" s="15" t="s">
        <v>133</v>
      </c>
      <c r="H186" s="15" t="s">
        <v>73</v>
      </c>
      <c r="I186" s="63">
        <v>3</v>
      </c>
      <c r="J186" s="65">
        <v>299.99</v>
      </c>
      <c r="K186" s="15" t="s">
        <v>47</v>
      </c>
      <c r="L186" s="15" t="s">
        <v>62</v>
      </c>
      <c r="M186" s="15" t="s">
        <v>63</v>
      </c>
      <c r="N186" s="16">
        <v>44422</v>
      </c>
      <c r="O186" s="61">
        <v>899.97</v>
      </c>
      <c r="P186" s="15" t="str">
        <f>TEXT(Table2[[#This Row],[Date]], "mm")</f>
        <v>01</v>
      </c>
    </row>
    <row r="187" spans="2:16" x14ac:dyDescent="0.35">
      <c r="B187" s="17" t="s">
        <v>356</v>
      </c>
      <c r="C187" s="16">
        <v>45666</v>
      </c>
      <c r="D187" s="15" t="s">
        <v>92</v>
      </c>
      <c r="E187" s="15" t="s">
        <v>93</v>
      </c>
      <c r="F187" s="15" t="s">
        <v>107</v>
      </c>
      <c r="G187" s="15" t="s">
        <v>108</v>
      </c>
      <c r="H187" s="15" t="s">
        <v>46</v>
      </c>
      <c r="I187" s="63">
        <v>3</v>
      </c>
      <c r="J187" s="65">
        <v>699.99</v>
      </c>
      <c r="K187" s="15" t="s">
        <v>53</v>
      </c>
      <c r="L187" s="15" t="s">
        <v>48</v>
      </c>
      <c r="M187" s="15" t="s">
        <v>54</v>
      </c>
      <c r="N187" s="16">
        <v>45105</v>
      </c>
      <c r="O187" s="61">
        <v>2099.9699999999998</v>
      </c>
      <c r="P187" s="15" t="str">
        <f>TEXT(Table2[[#This Row],[Date]], "mm")</f>
        <v>01</v>
      </c>
    </row>
    <row r="188" spans="2:16" x14ac:dyDescent="0.35">
      <c r="B188" s="17" t="s">
        <v>357</v>
      </c>
      <c r="C188" s="16">
        <v>45667</v>
      </c>
      <c r="D188" s="15" t="s">
        <v>135</v>
      </c>
      <c r="E188" s="15" t="s">
        <v>136</v>
      </c>
      <c r="F188" s="15" t="s">
        <v>153</v>
      </c>
      <c r="G188" s="15" t="s">
        <v>154</v>
      </c>
      <c r="H188" s="15" t="s">
        <v>73</v>
      </c>
      <c r="I188" s="63">
        <v>5</v>
      </c>
      <c r="J188" s="65">
        <v>199.99</v>
      </c>
      <c r="K188" s="15" t="s">
        <v>61</v>
      </c>
      <c r="L188" s="15" t="s">
        <v>48</v>
      </c>
      <c r="M188" s="15" t="s">
        <v>63</v>
      </c>
      <c r="N188" s="16">
        <v>44633</v>
      </c>
      <c r="O188" s="61">
        <v>999.95</v>
      </c>
      <c r="P188" s="15" t="str">
        <f>TEXT(Table2[[#This Row],[Date]], "mm")</f>
        <v>01</v>
      </c>
    </row>
    <row r="189" spans="2:16" x14ac:dyDescent="0.35">
      <c r="B189" s="17" t="s">
        <v>358</v>
      </c>
      <c r="C189" s="16">
        <v>45667</v>
      </c>
      <c r="D189" s="15" t="s">
        <v>120</v>
      </c>
      <c r="E189" s="15" t="s">
        <v>121</v>
      </c>
      <c r="F189" s="15" t="s">
        <v>44</v>
      </c>
      <c r="G189" s="15" t="s">
        <v>45</v>
      </c>
      <c r="H189" s="15" t="s">
        <v>46</v>
      </c>
      <c r="I189" s="63">
        <v>5</v>
      </c>
      <c r="J189" s="65">
        <v>249.99</v>
      </c>
      <c r="K189" s="15" t="s">
        <v>53</v>
      </c>
      <c r="L189" s="15" t="s">
        <v>62</v>
      </c>
      <c r="M189" s="15" t="s">
        <v>49</v>
      </c>
      <c r="N189" s="16">
        <v>45330</v>
      </c>
      <c r="O189" s="61">
        <v>1249.95</v>
      </c>
      <c r="P189" s="15" t="str">
        <f>TEXT(Table2[[#This Row],[Date]], "mm")</f>
        <v>01</v>
      </c>
    </row>
    <row r="190" spans="2:16" x14ac:dyDescent="0.35">
      <c r="B190" s="17" t="s">
        <v>359</v>
      </c>
      <c r="C190" s="16">
        <v>45668</v>
      </c>
      <c r="D190" s="15" t="s">
        <v>165</v>
      </c>
      <c r="E190" s="15" t="s">
        <v>166</v>
      </c>
      <c r="F190" s="15" t="s">
        <v>79</v>
      </c>
      <c r="G190" s="15" t="s">
        <v>80</v>
      </c>
      <c r="H190" s="15" t="s">
        <v>46</v>
      </c>
      <c r="I190" s="63">
        <v>4</v>
      </c>
      <c r="J190" s="65">
        <v>149.99</v>
      </c>
      <c r="K190" s="15" t="s">
        <v>84</v>
      </c>
      <c r="L190" s="15" t="s">
        <v>90</v>
      </c>
      <c r="M190" s="15" t="s">
        <v>63</v>
      </c>
      <c r="N190" s="16">
        <v>44536</v>
      </c>
      <c r="O190" s="61">
        <v>599.96</v>
      </c>
      <c r="P190" s="15" t="str">
        <f>TEXT(Table2[[#This Row],[Date]], "mm")</f>
        <v>01</v>
      </c>
    </row>
    <row r="191" spans="2:16" x14ac:dyDescent="0.35">
      <c r="B191" s="17" t="s">
        <v>360</v>
      </c>
      <c r="C191" s="16">
        <v>45668</v>
      </c>
      <c r="D191" s="15" t="s">
        <v>105</v>
      </c>
      <c r="E191" s="15" t="s">
        <v>106</v>
      </c>
      <c r="F191" s="15" t="s">
        <v>107</v>
      </c>
      <c r="G191" s="15" t="s">
        <v>108</v>
      </c>
      <c r="H191" s="15" t="s">
        <v>46</v>
      </c>
      <c r="I191" s="63">
        <v>3</v>
      </c>
      <c r="J191" s="65">
        <v>699.99</v>
      </c>
      <c r="K191" s="15" t="s">
        <v>47</v>
      </c>
      <c r="L191" s="15" t="s">
        <v>67</v>
      </c>
      <c r="M191" s="15" t="s">
        <v>54</v>
      </c>
      <c r="N191" s="16">
        <v>44602</v>
      </c>
      <c r="O191" s="61">
        <v>2099.9699999999998</v>
      </c>
      <c r="P191" s="15" t="str">
        <f>TEXT(Table2[[#This Row],[Date]], "mm")</f>
        <v>01</v>
      </c>
    </row>
    <row r="192" spans="2:16" x14ac:dyDescent="0.35">
      <c r="B192" s="17" t="s">
        <v>361</v>
      </c>
      <c r="C192" s="16">
        <v>45670</v>
      </c>
      <c r="D192" s="15" t="s">
        <v>320</v>
      </c>
      <c r="E192" s="15" t="s">
        <v>321</v>
      </c>
      <c r="F192" s="15" t="s">
        <v>141</v>
      </c>
      <c r="G192" s="15" t="s">
        <v>142</v>
      </c>
      <c r="H192" s="15" t="s">
        <v>60</v>
      </c>
      <c r="I192" s="63">
        <v>1</v>
      </c>
      <c r="J192" s="65">
        <v>79.989999999999995</v>
      </c>
      <c r="K192" s="15" t="s">
        <v>53</v>
      </c>
      <c r="L192" s="15" t="s">
        <v>62</v>
      </c>
      <c r="M192" s="15" t="s">
        <v>49</v>
      </c>
      <c r="N192" s="16">
        <v>45322</v>
      </c>
      <c r="O192" s="61">
        <v>79.989999999999995</v>
      </c>
      <c r="P192" s="15" t="str">
        <f>TEXT(Table2[[#This Row],[Date]], "mm")</f>
        <v>01</v>
      </c>
    </row>
    <row r="193" spans="2:16" x14ac:dyDescent="0.35">
      <c r="B193" s="17" t="s">
        <v>362</v>
      </c>
      <c r="C193" s="16">
        <v>45670</v>
      </c>
      <c r="D193" s="15" t="s">
        <v>113</v>
      </c>
      <c r="E193" s="15" t="s">
        <v>114</v>
      </c>
      <c r="F193" s="15" t="s">
        <v>132</v>
      </c>
      <c r="G193" s="15" t="s">
        <v>133</v>
      </c>
      <c r="H193" s="15" t="s">
        <v>73</v>
      </c>
      <c r="I193" s="63">
        <v>1</v>
      </c>
      <c r="J193" s="65">
        <v>299.99</v>
      </c>
      <c r="K193" s="15" t="s">
        <v>53</v>
      </c>
      <c r="L193" s="15" t="s">
        <v>67</v>
      </c>
      <c r="M193" s="15" t="s">
        <v>49</v>
      </c>
      <c r="N193" s="16">
        <v>44436</v>
      </c>
      <c r="O193" s="61">
        <v>299.99</v>
      </c>
      <c r="P193" s="15" t="str">
        <f>TEXT(Table2[[#This Row],[Date]], "mm")</f>
        <v>01</v>
      </c>
    </row>
    <row r="194" spans="2:16" x14ac:dyDescent="0.35">
      <c r="B194" s="17" t="s">
        <v>363</v>
      </c>
      <c r="C194" s="16">
        <v>45671</v>
      </c>
      <c r="D194" s="15" t="s">
        <v>185</v>
      </c>
      <c r="E194" s="15" t="s">
        <v>186</v>
      </c>
      <c r="F194" s="15" t="s">
        <v>44</v>
      </c>
      <c r="G194" s="15" t="s">
        <v>45</v>
      </c>
      <c r="H194" s="15" t="s">
        <v>46</v>
      </c>
      <c r="I194" s="63">
        <v>4</v>
      </c>
      <c r="J194" s="65">
        <v>249.99</v>
      </c>
      <c r="K194" s="15" t="s">
        <v>53</v>
      </c>
      <c r="L194" s="15" t="s">
        <v>67</v>
      </c>
      <c r="M194" s="15" t="s">
        <v>54</v>
      </c>
      <c r="N194" s="16">
        <v>44460</v>
      </c>
      <c r="O194" s="61">
        <v>999.96</v>
      </c>
      <c r="P194" s="15" t="str">
        <f>TEXT(Table2[[#This Row],[Date]], "mm")</f>
        <v>01</v>
      </c>
    </row>
    <row r="195" spans="2:16" x14ac:dyDescent="0.35">
      <c r="B195" s="17" t="s">
        <v>364</v>
      </c>
      <c r="C195" s="16">
        <v>45671</v>
      </c>
      <c r="D195" s="15" t="s">
        <v>147</v>
      </c>
      <c r="E195" s="15" t="s">
        <v>148</v>
      </c>
      <c r="F195" s="15" t="s">
        <v>79</v>
      </c>
      <c r="G195" s="15" t="s">
        <v>80</v>
      </c>
      <c r="H195" s="15" t="s">
        <v>46</v>
      </c>
      <c r="I195" s="63">
        <v>2</v>
      </c>
      <c r="J195" s="65">
        <v>149.99</v>
      </c>
      <c r="K195" s="15" t="s">
        <v>47</v>
      </c>
      <c r="L195" s="15" t="s">
        <v>67</v>
      </c>
      <c r="M195" s="15" t="s">
        <v>63</v>
      </c>
      <c r="N195" s="16">
        <v>44913</v>
      </c>
      <c r="O195" s="61">
        <v>299.98</v>
      </c>
      <c r="P195" s="15" t="str">
        <f>TEXT(Table2[[#This Row],[Date]], "mm")</f>
        <v>01</v>
      </c>
    </row>
    <row r="196" spans="2:16" x14ac:dyDescent="0.35">
      <c r="B196" s="17" t="s">
        <v>365</v>
      </c>
      <c r="C196" s="16">
        <v>45671</v>
      </c>
      <c r="D196" s="15" t="s">
        <v>261</v>
      </c>
      <c r="E196" s="15" t="s">
        <v>262</v>
      </c>
      <c r="F196" s="15" t="s">
        <v>132</v>
      </c>
      <c r="G196" s="15" t="s">
        <v>133</v>
      </c>
      <c r="H196" s="15" t="s">
        <v>73</v>
      </c>
      <c r="I196" s="63">
        <v>3</v>
      </c>
      <c r="J196" s="65">
        <v>299.99</v>
      </c>
      <c r="K196" s="15" t="s">
        <v>53</v>
      </c>
      <c r="L196" s="15" t="s">
        <v>62</v>
      </c>
      <c r="M196" s="15" t="s">
        <v>49</v>
      </c>
      <c r="N196" s="16">
        <v>45204</v>
      </c>
      <c r="O196" s="61">
        <v>899.97</v>
      </c>
      <c r="P196" s="15" t="str">
        <f>TEXT(Table2[[#This Row],[Date]], "mm")</f>
        <v>01</v>
      </c>
    </row>
    <row r="197" spans="2:16" x14ac:dyDescent="0.35">
      <c r="B197" s="17" t="s">
        <v>366</v>
      </c>
      <c r="C197" s="16">
        <v>45673</v>
      </c>
      <c r="D197" s="15" t="s">
        <v>253</v>
      </c>
      <c r="E197" s="15" t="s">
        <v>254</v>
      </c>
      <c r="F197" s="15" t="s">
        <v>153</v>
      </c>
      <c r="G197" s="15" t="s">
        <v>154</v>
      </c>
      <c r="H197" s="15" t="s">
        <v>73</v>
      </c>
      <c r="I197" s="63">
        <v>4</v>
      </c>
      <c r="J197" s="65">
        <v>199.99</v>
      </c>
      <c r="K197" s="15" t="s">
        <v>84</v>
      </c>
      <c r="L197" s="15" t="s">
        <v>62</v>
      </c>
      <c r="M197" s="15" t="s">
        <v>63</v>
      </c>
      <c r="N197" s="16">
        <v>44544</v>
      </c>
      <c r="O197" s="61">
        <v>799.96</v>
      </c>
      <c r="P197" s="15" t="str">
        <f>TEXT(Table2[[#This Row],[Date]], "mm")</f>
        <v>01</v>
      </c>
    </row>
    <row r="198" spans="2:16" x14ac:dyDescent="0.35">
      <c r="B198" s="17" t="s">
        <v>367</v>
      </c>
      <c r="C198" s="16">
        <v>45673</v>
      </c>
      <c r="D198" s="15" t="s">
        <v>238</v>
      </c>
      <c r="E198" s="15" t="s">
        <v>239</v>
      </c>
      <c r="F198" s="15" t="s">
        <v>132</v>
      </c>
      <c r="G198" s="15" t="s">
        <v>133</v>
      </c>
      <c r="H198" s="15" t="s">
        <v>73</v>
      </c>
      <c r="I198" s="63">
        <v>5</v>
      </c>
      <c r="J198" s="65">
        <v>299.99</v>
      </c>
      <c r="K198" s="15" t="s">
        <v>84</v>
      </c>
      <c r="L198" s="15" t="s">
        <v>48</v>
      </c>
      <c r="M198" s="15" t="s">
        <v>49</v>
      </c>
      <c r="N198" s="16">
        <v>44431</v>
      </c>
      <c r="O198" s="61">
        <v>1499.95</v>
      </c>
      <c r="P198" s="15" t="str">
        <f>TEXT(Table2[[#This Row],[Date]], "mm")</f>
        <v>01</v>
      </c>
    </row>
    <row r="199" spans="2:16" x14ac:dyDescent="0.35">
      <c r="B199" s="17" t="s">
        <v>368</v>
      </c>
      <c r="C199" s="16">
        <v>45673</v>
      </c>
      <c r="D199" s="15" t="s">
        <v>86</v>
      </c>
      <c r="E199" s="15" t="s">
        <v>87</v>
      </c>
      <c r="F199" s="15" t="s">
        <v>71</v>
      </c>
      <c r="G199" s="15" t="s">
        <v>72</v>
      </c>
      <c r="H199" s="15" t="s">
        <v>73</v>
      </c>
      <c r="I199" s="63">
        <v>3</v>
      </c>
      <c r="J199" s="65">
        <v>149.99</v>
      </c>
      <c r="K199" s="15" t="s">
        <v>53</v>
      </c>
      <c r="L199" s="15" t="s">
        <v>90</v>
      </c>
      <c r="M199" s="15" t="s">
        <v>63</v>
      </c>
      <c r="N199" s="16">
        <v>44395</v>
      </c>
      <c r="O199" s="61">
        <v>449.97</v>
      </c>
      <c r="P199" s="15" t="str">
        <f>TEXT(Table2[[#This Row],[Date]], "mm")</f>
        <v>01</v>
      </c>
    </row>
    <row r="200" spans="2:16" x14ac:dyDescent="0.35">
      <c r="B200" s="17" t="s">
        <v>369</v>
      </c>
      <c r="C200" s="16">
        <v>45676</v>
      </c>
      <c r="D200" s="15" t="s">
        <v>156</v>
      </c>
      <c r="E200" s="15" t="s">
        <v>157</v>
      </c>
      <c r="F200" s="15" t="s">
        <v>58</v>
      </c>
      <c r="G200" s="15" t="s">
        <v>59</v>
      </c>
      <c r="H200" s="15" t="s">
        <v>60</v>
      </c>
      <c r="I200" s="63">
        <v>5</v>
      </c>
      <c r="J200" s="65">
        <v>59.99</v>
      </c>
      <c r="K200" s="15" t="s">
        <v>84</v>
      </c>
      <c r="L200" s="15" t="s">
        <v>90</v>
      </c>
      <c r="M200" s="15" t="s">
        <v>49</v>
      </c>
      <c r="N200" s="16">
        <v>44642</v>
      </c>
      <c r="O200" s="61">
        <v>299.95</v>
      </c>
      <c r="P200" s="15" t="str">
        <f>TEXT(Table2[[#This Row],[Date]], "mm")</f>
        <v>01</v>
      </c>
    </row>
    <row r="201" spans="2:16" x14ac:dyDescent="0.35">
      <c r="B201" s="17" t="s">
        <v>370</v>
      </c>
      <c r="C201" s="16">
        <v>45682</v>
      </c>
      <c r="D201" s="15" t="s">
        <v>95</v>
      </c>
      <c r="E201" s="15" t="s">
        <v>96</v>
      </c>
      <c r="F201" s="15" t="s">
        <v>58</v>
      </c>
      <c r="G201" s="15" t="s">
        <v>59</v>
      </c>
      <c r="H201" s="15" t="s">
        <v>60</v>
      </c>
      <c r="I201" s="63">
        <v>4</v>
      </c>
      <c r="J201" s="65">
        <v>59.99</v>
      </c>
      <c r="K201" s="15" t="s">
        <v>84</v>
      </c>
      <c r="L201" s="15" t="s">
        <v>90</v>
      </c>
      <c r="M201" s="15" t="s">
        <v>63</v>
      </c>
      <c r="N201" s="16">
        <v>44564</v>
      </c>
      <c r="O201" s="61">
        <v>239.96</v>
      </c>
      <c r="P201" s="15" t="str">
        <f>TEXT(Table2[[#This Row],[Date]], "mm")</f>
        <v>01</v>
      </c>
    </row>
    <row r="202" spans="2:16" x14ac:dyDescent="0.35">
      <c r="B202" s="17" t="s">
        <v>371</v>
      </c>
      <c r="C202" s="16">
        <v>45683</v>
      </c>
      <c r="D202" s="15" t="s">
        <v>75</v>
      </c>
      <c r="E202" s="15" t="s">
        <v>76</v>
      </c>
      <c r="F202" s="15" t="s">
        <v>44</v>
      </c>
      <c r="G202" s="15" t="s">
        <v>45</v>
      </c>
      <c r="H202" s="15" t="s">
        <v>46</v>
      </c>
      <c r="I202" s="63">
        <v>4</v>
      </c>
      <c r="J202" s="65">
        <v>249.99</v>
      </c>
      <c r="K202" s="15" t="s">
        <v>84</v>
      </c>
      <c r="L202" s="15" t="s">
        <v>48</v>
      </c>
      <c r="M202" s="15" t="s">
        <v>54</v>
      </c>
      <c r="N202" s="16">
        <v>45217</v>
      </c>
      <c r="O202" s="61">
        <v>999.96</v>
      </c>
      <c r="P202" s="15" t="str">
        <f>TEXT(Table2[[#This Row],[Date]], "mm")</f>
        <v>01</v>
      </c>
    </row>
    <row r="203" spans="2:16" x14ac:dyDescent="0.35">
      <c r="B203" s="17" t="s">
        <v>372</v>
      </c>
      <c r="C203" s="16">
        <v>45686</v>
      </c>
      <c r="D203" s="15" t="s">
        <v>279</v>
      </c>
      <c r="E203" s="15" t="s">
        <v>280</v>
      </c>
      <c r="F203" s="15" t="s">
        <v>88</v>
      </c>
      <c r="G203" s="15" t="s">
        <v>89</v>
      </c>
      <c r="H203" s="15" t="s">
        <v>46</v>
      </c>
      <c r="I203" s="63">
        <v>4</v>
      </c>
      <c r="J203" s="65">
        <v>899.99</v>
      </c>
      <c r="K203" s="15" t="s">
        <v>61</v>
      </c>
      <c r="L203" s="15" t="s">
        <v>48</v>
      </c>
      <c r="M203" s="15" t="s">
        <v>49</v>
      </c>
      <c r="N203" s="16">
        <v>44734</v>
      </c>
      <c r="O203" s="61">
        <v>3599.96</v>
      </c>
      <c r="P203" s="15" t="str">
        <f>TEXT(Table2[[#This Row],[Date]], "mm")</f>
        <v>01</v>
      </c>
    </row>
    <row r="204" spans="2:16" x14ac:dyDescent="0.35">
      <c r="B204" s="17" t="s">
        <v>373</v>
      </c>
      <c r="C204" s="16">
        <v>45686</v>
      </c>
      <c r="D204" s="15" t="s">
        <v>113</v>
      </c>
      <c r="E204" s="15" t="s">
        <v>114</v>
      </c>
      <c r="F204" s="15" t="s">
        <v>132</v>
      </c>
      <c r="G204" s="15" t="s">
        <v>133</v>
      </c>
      <c r="H204" s="15" t="s">
        <v>73</v>
      </c>
      <c r="I204" s="63">
        <v>3</v>
      </c>
      <c r="J204" s="65">
        <v>299.99</v>
      </c>
      <c r="K204" s="15" t="s">
        <v>84</v>
      </c>
      <c r="L204" s="15" t="s">
        <v>77</v>
      </c>
      <c r="M204" s="15" t="s">
        <v>63</v>
      </c>
      <c r="N204" s="16">
        <v>44952</v>
      </c>
      <c r="O204" s="61">
        <v>899.97</v>
      </c>
      <c r="P204" s="15" t="str">
        <f>TEXT(Table2[[#This Row],[Date]], "mm")</f>
        <v>01</v>
      </c>
    </row>
    <row r="205" spans="2:16" x14ac:dyDescent="0.35">
      <c r="B205" s="17" t="s">
        <v>374</v>
      </c>
      <c r="C205" s="16">
        <v>45686</v>
      </c>
      <c r="D205" s="15" t="s">
        <v>320</v>
      </c>
      <c r="E205" s="15" t="s">
        <v>321</v>
      </c>
      <c r="F205" s="15" t="s">
        <v>107</v>
      </c>
      <c r="G205" s="15" t="s">
        <v>108</v>
      </c>
      <c r="H205" s="15" t="s">
        <v>46</v>
      </c>
      <c r="I205" s="63">
        <v>2</v>
      </c>
      <c r="J205" s="65">
        <v>699.99</v>
      </c>
      <c r="K205" s="15" t="s">
        <v>84</v>
      </c>
      <c r="L205" s="15" t="s">
        <v>48</v>
      </c>
      <c r="M205" s="15" t="s">
        <v>54</v>
      </c>
      <c r="N205" s="16">
        <v>44681</v>
      </c>
      <c r="O205" s="61">
        <v>1399.98</v>
      </c>
      <c r="P205" s="15" t="str">
        <f>TEXT(Table2[[#This Row],[Date]], "mm")</f>
        <v>01</v>
      </c>
    </row>
    <row r="206" spans="2:16" x14ac:dyDescent="0.35">
      <c r="B206" s="17" t="s">
        <v>375</v>
      </c>
      <c r="C206" s="16">
        <v>45688</v>
      </c>
      <c r="D206" s="15" t="s">
        <v>92</v>
      </c>
      <c r="E206" s="15" t="s">
        <v>93</v>
      </c>
      <c r="F206" s="15" t="s">
        <v>107</v>
      </c>
      <c r="G206" s="15" t="s">
        <v>108</v>
      </c>
      <c r="H206" s="15" t="s">
        <v>46</v>
      </c>
      <c r="I206" s="63">
        <v>4</v>
      </c>
      <c r="J206" s="65">
        <v>699.99</v>
      </c>
      <c r="K206" s="15" t="s">
        <v>84</v>
      </c>
      <c r="L206" s="15" t="s">
        <v>77</v>
      </c>
      <c r="M206" s="15" t="s">
        <v>54</v>
      </c>
      <c r="N206" s="16">
        <v>44692</v>
      </c>
      <c r="O206" s="61">
        <v>2799.96</v>
      </c>
      <c r="P206" s="15" t="str">
        <f>TEXT(Table2[[#This Row],[Date]], "mm")</f>
        <v>01</v>
      </c>
    </row>
    <row r="207" spans="2:16" x14ac:dyDescent="0.35">
      <c r="B207" s="17" t="s">
        <v>376</v>
      </c>
      <c r="C207" s="16">
        <v>45688</v>
      </c>
      <c r="D207" s="15" t="s">
        <v>150</v>
      </c>
      <c r="E207" s="15" t="s">
        <v>151</v>
      </c>
      <c r="F207" s="15" t="s">
        <v>144</v>
      </c>
      <c r="G207" s="15" t="s">
        <v>145</v>
      </c>
      <c r="H207" s="15" t="s">
        <v>46</v>
      </c>
      <c r="I207" s="63">
        <v>2</v>
      </c>
      <c r="J207" s="65">
        <v>89.99</v>
      </c>
      <c r="K207" s="15" t="s">
        <v>84</v>
      </c>
      <c r="L207" s="15" t="s">
        <v>62</v>
      </c>
      <c r="M207" s="15" t="s">
        <v>49</v>
      </c>
      <c r="N207" s="16">
        <v>44777</v>
      </c>
      <c r="O207" s="61">
        <v>179.98</v>
      </c>
      <c r="P207" s="15" t="str">
        <f>TEXT(Table2[[#This Row],[Date]], "mm")</f>
        <v>01</v>
      </c>
    </row>
    <row r="208" spans="2:16" x14ac:dyDescent="0.35">
      <c r="B208" s="17" t="s">
        <v>377</v>
      </c>
      <c r="C208" s="16">
        <v>45688</v>
      </c>
      <c r="D208" s="15" t="s">
        <v>69</v>
      </c>
      <c r="E208" s="15" t="s">
        <v>70</v>
      </c>
      <c r="F208" s="15" t="s">
        <v>144</v>
      </c>
      <c r="G208" s="15" t="s">
        <v>145</v>
      </c>
      <c r="H208" s="15" t="s">
        <v>46</v>
      </c>
      <c r="I208" s="63">
        <v>3</v>
      </c>
      <c r="J208" s="65">
        <v>89.99</v>
      </c>
      <c r="K208" s="15" t="s">
        <v>84</v>
      </c>
      <c r="L208" s="15" t="s">
        <v>62</v>
      </c>
      <c r="M208" s="15" t="s">
        <v>54</v>
      </c>
      <c r="N208" s="16">
        <v>45307</v>
      </c>
      <c r="O208" s="61">
        <v>269.97000000000003</v>
      </c>
      <c r="P208" s="15" t="str">
        <f>TEXT(Table2[[#This Row],[Date]], "mm")</f>
        <v>01</v>
      </c>
    </row>
    <row r="209" spans="2:16" x14ac:dyDescent="0.35">
      <c r="B209" s="17" t="s">
        <v>378</v>
      </c>
      <c r="C209" s="16">
        <v>45692</v>
      </c>
      <c r="D209" s="15" t="s">
        <v>352</v>
      </c>
      <c r="E209" s="15" t="s">
        <v>353</v>
      </c>
      <c r="F209" s="15" t="s">
        <v>58</v>
      </c>
      <c r="G209" s="15" t="s">
        <v>59</v>
      </c>
      <c r="H209" s="15" t="s">
        <v>60</v>
      </c>
      <c r="I209" s="63">
        <v>1</v>
      </c>
      <c r="J209" s="65">
        <v>59.99</v>
      </c>
      <c r="K209" s="15" t="s">
        <v>84</v>
      </c>
      <c r="L209" s="15" t="s">
        <v>48</v>
      </c>
      <c r="M209" s="15" t="s">
        <v>63</v>
      </c>
      <c r="N209" s="16">
        <v>45045</v>
      </c>
      <c r="O209" s="61">
        <v>59.99</v>
      </c>
      <c r="P209" s="15" t="str">
        <f>TEXT(Table2[[#This Row],[Date]], "mm")</f>
        <v>02</v>
      </c>
    </row>
    <row r="210" spans="2:16" x14ac:dyDescent="0.35">
      <c r="B210" s="17" t="s">
        <v>379</v>
      </c>
      <c r="C210" s="16">
        <v>45695</v>
      </c>
      <c r="D210" s="15" t="s">
        <v>273</v>
      </c>
      <c r="E210" s="15" t="s">
        <v>274</v>
      </c>
      <c r="F210" s="15" t="s">
        <v>71</v>
      </c>
      <c r="G210" s="15" t="s">
        <v>72</v>
      </c>
      <c r="H210" s="15" t="s">
        <v>73</v>
      </c>
      <c r="I210" s="63">
        <v>3</v>
      </c>
      <c r="J210" s="65">
        <v>149.99</v>
      </c>
      <c r="K210" s="15" t="s">
        <v>84</v>
      </c>
      <c r="L210" s="15" t="s">
        <v>67</v>
      </c>
      <c r="M210" s="15" t="s">
        <v>54</v>
      </c>
      <c r="N210" s="16">
        <v>44564</v>
      </c>
      <c r="O210" s="61">
        <v>449.97</v>
      </c>
      <c r="P210" s="15" t="str">
        <f>TEXT(Table2[[#This Row],[Date]], "mm")</f>
        <v>02</v>
      </c>
    </row>
    <row r="211" spans="2:16" x14ac:dyDescent="0.35">
      <c r="B211" s="17" t="s">
        <v>380</v>
      </c>
      <c r="C211" s="16">
        <v>45695</v>
      </c>
      <c r="D211" s="15" t="s">
        <v>120</v>
      </c>
      <c r="E211" s="15" t="s">
        <v>121</v>
      </c>
      <c r="F211" s="15" t="s">
        <v>132</v>
      </c>
      <c r="G211" s="15" t="s">
        <v>133</v>
      </c>
      <c r="H211" s="15" t="s">
        <v>73</v>
      </c>
      <c r="I211" s="63">
        <v>5</v>
      </c>
      <c r="J211" s="65">
        <v>299.99</v>
      </c>
      <c r="K211" s="15" t="s">
        <v>53</v>
      </c>
      <c r="L211" s="15" t="s">
        <v>62</v>
      </c>
      <c r="M211" s="15" t="s">
        <v>49</v>
      </c>
      <c r="N211" s="16">
        <v>44959</v>
      </c>
      <c r="O211" s="61">
        <v>1499.95</v>
      </c>
      <c r="P211" s="15" t="str">
        <f>TEXT(Table2[[#This Row],[Date]], "mm")</f>
        <v>02</v>
      </c>
    </row>
    <row r="212" spans="2:16" x14ac:dyDescent="0.35">
      <c r="B212" s="17" t="s">
        <v>381</v>
      </c>
      <c r="C212" s="16">
        <v>45696</v>
      </c>
      <c r="D212" s="15" t="s">
        <v>177</v>
      </c>
      <c r="E212" s="15" t="s">
        <v>178</v>
      </c>
      <c r="F212" s="15" t="s">
        <v>58</v>
      </c>
      <c r="G212" s="15" t="s">
        <v>59</v>
      </c>
      <c r="H212" s="15" t="s">
        <v>60</v>
      </c>
      <c r="I212" s="63">
        <v>5</v>
      </c>
      <c r="J212" s="65">
        <v>59.99</v>
      </c>
      <c r="K212" s="15" t="s">
        <v>84</v>
      </c>
      <c r="L212" s="15" t="s">
        <v>48</v>
      </c>
      <c r="M212" s="15" t="s">
        <v>63</v>
      </c>
      <c r="N212" s="16">
        <v>45177</v>
      </c>
      <c r="O212" s="61">
        <v>299.95</v>
      </c>
      <c r="P212" s="15" t="str">
        <f>TEXT(Table2[[#This Row],[Date]], "mm")</f>
        <v>02</v>
      </c>
    </row>
    <row r="213" spans="2:16" x14ac:dyDescent="0.35">
      <c r="B213" s="17" t="s">
        <v>382</v>
      </c>
      <c r="C213" s="16">
        <v>45701</v>
      </c>
      <c r="D213" s="15" t="s">
        <v>135</v>
      </c>
      <c r="E213" s="15" t="s">
        <v>136</v>
      </c>
      <c r="F213" s="15" t="s">
        <v>141</v>
      </c>
      <c r="G213" s="15" t="s">
        <v>142</v>
      </c>
      <c r="H213" s="15" t="s">
        <v>60</v>
      </c>
      <c r="I213" s="63">
        <v>3</v>
      </c>
      <c r="J213" s="65">
        <v>79.989999999999995</v>
      </c>
      <c r="K213" s="15" t="s">
        <v>47</v>
      </c>
      <c r="L213" s="15" t="s">
        <v>90</v>
      </c>
      <c r="M213" s="15" t="s">
        <v>54</v>
      </c>
      <c r="N213" s="16">
        <v>44436</v>
      </c>
      <c r="O213" s="61">
        <v>239.97</v>
      </c>
      <c r="P213" s="15" t="str">
        <f>TEXT(Table2[[#This Row],[Date]], "mm")</f>
        <v>02</v>
      </c>
    </row>
    <row r="214" spans="2:16" x14ac:dyDescent="0.35">
      <c r="B214" s="17" t="s">
        <v>383</v>
      </c>
      <c r="C214" s="16">
        <v>45704</v>
      </c>
      <c r="D214" s="15" t="s">
        <v>56</v>
      </c>
      <c r="E214" s="15" t="s">
        <v>57</v>
      </c>
      <c r="F214" s="15" t="s">
        <v>153</v>
      </c>
      <c r="G214" s="15" t="s">
        <v>154</v>
      </c>
      <c r="H214" s="15" t="s">
        <v>73</v>
      </c>
      <c r="I214" s="63">
        <v>3</v>
      </c>
      <c r="J214" s="65">
        <v>199.99</v>
      </c>
      <c r="K214" s="15" t="s">
        <v>47</v>
      </c>
      <c r="L214" s="15" t="s">
        <v>48</v>
      </c>
      <c r="M214" s="15" t="s">
        <v>49</v>
      </c>
      <c r="N214" s="16">
        <v>44735</v>
      </c>
      <c r="O214" s="61">
        <v>599.97</v>
      </c>
      <c r="P214" s="15" t="str">
        <f>TEXT(Table2[[#This Row],[Date]], "mm")</f>
        <v>02</v>
      </c>
    </row>
    <row r="215" spans="2:16" x14ac:dyDescent="0.35">
      <c r="B215" s="17" t="s">
        <v>384</v>
      </c>
      <c r="C215" s="16">
        <v>45704</v>
      </c>
      <c r="D215" s="15" t="s">
        <v>42</v>
      </c>
      <c r="E215" s="15" t="s">
        <v>43</v>
      </c>
      <c r="F215" s="15" t="s">
        <v>144</v>
      </c>
      <c r="G215" s="15" t="s">
        <v>145</v>
      </c>
      <c r="H215" s="15" t="s">
        <v>46</v>
      </c>
      <c r="I215" s="63">
        <v>2</v>
      </c>
      <c r="J215" s="65">
        <v>89.99</v>
      </c>
      <c r="K215" s="15" t="s">
        <v>61</v>
      </c>
      <c r="L215" s="15" t="s">
        <v>48</v>
      </c>
      <c r="M215" s="15" t="s">
        <v>49</v>
      </c>
      <c r="N215" s="16">
        <v>45257</v>
      </c>
      <c r="O215" s="61">
        <v>179.98</v>
      </c>
      <c r="P215" s="15" t="str">
        <f>TEXT(Table2[[#This Row],[Date]], "mm")</f>
        <v>02</v>
      </c>
    </row>
    <row r="216" spans="2:16" x14ac:dyDescent="0.35">
      <c r="B216" s="17" t="s">
        <v>385</v>
      </c>
      <c r="C216" s="16">
        <v>45705</v>
      </c>
      <c r="D216" s="15" t="s">
        <v>286</v>
      </c>
      <c r="E216" s="15" t="s">
        <v>287</v>
      </c>
      <c r="F216" s="15" t="s">
        <v>71</v>
      </c>
      <c r="G216" s="15" t="s">
        <v>72</v>
      </c>
      <c r="H216" s="15" t="s">
        <v>73</v>
      </c>
      <c r="I216" s="63">
        <v>2</v>
      </c>
      <c r="J216" s="65">
        <v>149.99</v>
      </c>
      <c r="K216" s="15" t="s">
        <v>47</v>
      </c>
      <c r="L216" s="15" t="s">
        <v>62</v>
      </c>
      <c r="M216" s="15" t="s">
        <v>54</v>
      </c>
      <c r="N216" s="16">
        <v>44728</v>
      </c>
      <c r="O216" s="61">
        <v>299.98</v>
      </c>
      <c r="P216" s="15" t="str">
        <f>TEXT(Table2[[#This Row],[Date]], "mm")</f>
        <v>02</v>
      </c>
    </row>
    <row r="217" spans="2:16" x14ac:dyDescent="0.35">
      <c r="B217" s="17" t="s">
        <v>386</v>
      </c>
      <c r="C217" s="16">
        <v>45707</v>
      </c>
      <c r="D217" s="15" t="s">
        <v>150</v>
      </c>
      <c r="E217" s="15" t="s">
        <v>151</v>
      </c>
      <c r="F217" s="15" t="s">
        <v>107</v>
      </c>
      <c r="G217" s="15" t="s">
        <v>108</v>
      </c>
      <c r="H217" s="15" t="s">
        <v>46</v>
      </c>
      <c r="I217" s="63">
        <v>5</v>
      </c>
      <c r="J217" s="65">
        <v>699.99</v>
      </c>
      <c r="K217" s="15" t="s">
        <v>61</v>
      </c>
      <c r="L217" s="15" t="s">
        <v>62</v>
      </c>
      <c r="M217" s="15" t="s">
        <v>54</v>
      </c>
      <c r="N217" s="16">
        <v>45352</v>
      </c>
      <c r="O217" s="61">
        <v>3499.95</v>
      </c>
      <c r="P217" s="15" t="str">
        <f>TEXT(Table2[[#This Row],[Date]], "mm")</f>
        <v>02</v>
      </c>
    </row>
    <row r="218" spans="2:16" x14ac:dyDescent="0.35">
      <c r="B218" s="17" t="s">
        <v>387</v>
      </c>
      <c r="C218" s="16">
        <v>45707</v>
      </c>
      <c r="D218" s="15" t="s">
        <v>69</v>
      </c>
      <c r="E218" s="15" t="s">
        <v>70</v>
      </c>
      <c r="F218" s="15" t="s">
        <v>71</v>
      </c>
      <c r="G218" s="15" t="s">
        <v>72</v>
      </c>
      <c r="H218" s="15" t="s">
        <v>73</v>
      </c>
      <c r="I218" s="63">
        <v>3</v>
      </c>
      <c r="J218" s="65">
        <v>149.99</v>
      </c>
      <c r="K218" s="15" t="s">
        <v>61</v>
      </c>
      <c r="L218" s="15" t="s">
        <v>48</v>
      </c>
      <c r="M218" s="15" t="s">
        <v>63</v>
      </c>
      <c r="N218" s="16">
        <v>44633</v>
      </c>
      <c r="O218" s="61">
        <v>449.97</v>
      </c>
      <c r="P218" s="15" t="str">
        <f>TEXT(Table2[[#This Row],[Date]], "mm")</f>
        <v>02</v>
      </c>
    </row>
    <row r="219" spans="2:16" x14ac:dyDescent="0.35">
      <c r="B219" s="17" t="s">
        <v>388</v>
      </c>
      <c r="C219" s="16">
        <v>45708</v>
      </c>
      <c r="D219" s="15" t="s">
        <v>123</v>
      </c>
      <c r="E219" s="15" t="s">
        <v>124</v>
      </c>
      <c r="F219" s="15" t="s">
        <v>88</v>
      </c>
      <c r="G219" s="15" t="s">
        <v>89</v>
      </c>
      <c r="H219" s="15" t="s">
        <v>46</v>
      </c>
      <c r="I219" s="63">
        <v>3</v>
      </c>
      <c r="J219" s="65">
        <v>899.99</v>
      </c>
      <c r="K219" s="15" t="s">
        <v>47</v>
      </c>
      <c r="L219" s="15" t="s">
        <v>90</v>
      </c>
      <c r="M219" s="15" t="s">
        <v>63</v>
      </c>
      <c r="N219" s="16">
        <v>44613</v>
      </c>
      <c r="O219" s="61">
        <v>2699.97</v>
      </c>
      <c r="P219" s="15" t="str">
        <f>TEXT(Table2[[#This Row],[Date]], "mm")</f>
        <v>02</v>
      </c>
    </row>
    <row r="220" spans="2:16" x14ac:dyDescent="0.35">
      <c r="B220" s="17" t="s">
        <v>389</v>
      </c>
      <c r="C220" s="16">
        <v>45708</v>
      </c>
      <c r="D220" s="15" t="s">
        <v>219</v>
      </c>
      <c r="E220" s="15" t="s">
        <v>220</v>
      </c>
      <c r="F220" s="15" t="s">
        <v>153</v>
      </c>
      <c r="G220" s="15" t="s">
        <v>154</v>
      </c>
      <c r="H220" s="15" t="s">
        <v>73</v>
      </c>
      <c r="I220" s="63">
        <v>3</v>
      </c>
      <c r="J220" s="65">
        <v>199.99</v>
      </c>
      <c r="K220" s="15" t="s">
        <v>47</v>
      </c>
      <c r="L220" s="15" t="s">
        <v>77</v>
      </c>
      <c r="M220" s="15" t="s">
        <v>54</v>
      </c>
      <c r="N220" s="16">
        <v>44823</v>
      </c>
      <c r="O220" s="61">
        <v>599.97</v>
      </c>
      <c r="P220" s="15" t="str">
        <f>TEXT(Table2[[#This Row],[Date]], "mm")</f>
        <v>02</v>
      </c>
    </row>
    <row r="221" spans="2:16" x14ac:dyDescent="0.35">
      <c r="B221" s="17" t="s">
        <v>390</v>
      </c>
      <c r="C221" s="16">
        <v>45710</v>
      </c>
      <c r="D221" s="15" t="s">
        <v>82</v>
      </c>
      <c r="E221" s="15" t="s">
        <v>83</v>
      </c>
      <c r="F221" s="15" t="s">
        <v>132</v>
      </c>
      <c r="G221" s="15" t="s">
        <v>133</v>
      </c>
      <c r="H221" s="15" t="s">
        <v>73</v>
      </c>
      <c r="I221" s="63">
        <v>5</v>
      </c>
      <c r="J221" s="65">
        <v>299.99</v>
      </c>
      <c r="K221" s="15" t="s">
        <v>47</v>
      </c>
      <c r="L221" s="15" t="s">
        <v>77</v>
      </c>
      <c r="M221" s="15" t="s">
        <v>63</v>
      </c>
      <c r="N221" s="16">
        <v>45142</v>
      </c>
      <c r="O221" s="61">
        <v>1499.95</v>
      </c>
      <c r="P221" s="15" t="str">
        <f>TEXT(Table2[[#This Row],[Date]], "mm")</f>
        <v>02</v>
      </c>
    </row>
    <row r="222" spans="2:16" x14ac:dyDescent="0.35">
      <c r="B222" s="17" t="s">
        <v>391</v>
      </c>
      <c r="C222" s="16">
        <v>45710</v>
      </c>
      <c r="D222" s="15" t="s">
        <v>177</v>
      </c>
      <c r="E222" s="15" t="s">
        <v>178</v>
      </c>
      <c r="F222" s="15" t="s">
        <v>107</v>
      </c>
      <c r="G222" s="15" t="s">
        <v>108</v>
      </c>
      <c r="H222" s="15" t="s">
        <v>46</v>
      </c>
      <c r="I222" s="63">
        <v>1</v>
      </c>
      <c r="J222" s="65">
        <v>699.99</v>
      </c>
      <c r="K222" s="15" t="s">
        <v>61</v>
      </c>
      <c r="L222" s="15" t="s">
        <v>77</v>
      </c>
      <c r="M222" s="15" t="s">
        <v>49</v>
      </c>
      <c r="N222" s="16">
        <v>44934</v>
      </c>
      <c r="O222" s="61">
        <v>699.99</v>
      </c>
      <c r="P222" s="15" t="str">
        <f>TEXT(Table2[[#This Row],[Date]], "mm")</f>
        <v>02</v>
      </c>
    </row>
    <row r="223" spans="2:16" x14ac:dyDescent="0.35">
      <c r="B223" s="17" t="s">
        <v>392</v>
      </c>
      <c r="C223" s="16">
        <v>45711</v>
      </c>
      <c r="D223" s="15" t="s">
        <v>273</v>
      </c>
      <c r="E223" s="15" t="s">
        <v>274</v>
      </c>
      <c r="F223" s="15" t="s">
        <v>107</v>
      </c>
      <c r="G223" s="15" t="s">
        <v>108</v>
      </c>
      <c r="H223" s="15" t="s">
        <v>46</v>
      </c>
      <c r="I223" s="63">
        <v>1</v>
      </c>
      <c r="J223" s="65">
        <v>699.99</v>
      </c>
      <c r="K223" s="15" t="s">
        <v>47</v>
      </c>
      <c r="L223" s="15" t="s">
        <v>67</v>
      </c>
      <c r="M223" s="15" t="s">
        <v>54</v>
      </c>
      <c r="N223" s="16">
        <v>44583</v>
      </c>
      <c r="O223" s="61">
        <v>699.99</v>
      </c>
      <c r="P223" s="15" t="str">
        <f>TEXT(Table2[[#This Row],[Date]], "mm")</f>
        <v>02</v>
      </c>
    </row>
    <row r="224" spans="2:16" x14ac:dyDescent="0.35">
      <c r="B224" s="17" t="s">
        <v>393</v>
      </c>
      <c r="C224" s="16">
        <v>45711</v>
      </c>
      <c r="D224" s="15" t="s">
        <v>352</v>
      </c>
      <c r="E224" s="15" t="s">
        <v>353</v>
      </c>
      <c r="F224" s="15" t="s">
        <v>71</v>
      </c>
      <c r="G224" s="15" t="s">
        <v>72</v>
      </c>
      <c r="H224" s="15" t="s">
        <v>73</v>
      </c>
      <c r="I224" s="63">
        <v>4</v>
      </c>
      <c r="J224" s="65">
        <v>149.99</v>
      </c>
      <c r="K224" s="15" t="s">
        <v>61</v>
      </c>
      <c r="L224" s="15" t="s">
        <v>67</v>
      </c>
      <c r="M224" s="15" t="s">
        <v>54</v>
      </c>
      <c r="N224" s="16">
        <v>44412</v>
      </c>
      <c r="O224" s="61">
        <v>599.96</v>
      </c>
      <c r="P224" s="15" t="str">
        <f>TEXT(Table2[[#This Row],[Date]], "mm")</f>
        <v>02</v>
      </c>
    </row>
    <row r="225" spans="2:16" x14ac:dyDescent="0.35">
      <c r="B225" s="17" t="s">
        <v>394</v>
      </c>
      <c r="C225" s="16">
        <v>45711</v>
      </c>
      <c r="D225" s="15" t="s">
        <v>238</v>
      </c>
      <c r="E225" s="15" t="s">
        <v>239</v>
      </c>
      <c r="F225" s="15" t="s">
        <v>144</v>
      </c>
      <c r="G225" s="15" t="s">
        <v>145</v>
      </c>
      <c r="H225" s="15" t="s">
        <v>46</v>
      </c>
      <c r="I225" s="63">
        <v>5</v>
      </c>
      <c r="J225" s="65">
        <v>89.99</v>
      </c>
      <c r="K225" s="15" t="s">
        <v>61</v>
      </c>
      <c r="L225" s="15" t="s">
        <v>77</v>
      </c>
      <c r="M225" s="15" t="s">
        <v>54</v>
      </c>
      <c r="N225" s="16">
        <v>45140</v>
      </c>
      <c r="O225" s="61">
        <v>449.95</v>
      </c>
      <c r="P225" s="15" t="str">
        <f>TEXT(Table2[[#This Row],[Date]], "mm")</f>
        <v>02</v>
      </c>
    </row>
    <row r="226" spans="2:16" x14ac:dyDescent="0.35">
      <c r="B226" s="17" t="s">
        <v>395</v>
      </c>
      <c r="C226" s="16">
        <v>45712</v>
      </c>
      <c r="D226" s="15" t="s">
        <v>165</v>
      </c>
      <c r="E226" s="15" t="s">
        <v>166</v>
      </c>
      <c r="F226" s="15" t="s">
        <v>153</v>
      </c>
      <c r="G226" s="15" t="s">
        <v>154</v>
      </c>
      <c r="H226" s="15" t="s">
        <v>73</v>
      </c>
      <c r="I226" s="63">
        <v>2</v>
      </c>
      <c r="J226" s="65">
        <v>199.99</v>
      </c>
      <c r="K226" s="15" t="s">
        <v>47</v>
      </c>
      <c r="L226" s="15" t="s">
        <v>48</v>
      </c>
      <c r="M226" s="15" t="s">
        <v>54</v>
      </c>
      <c r="N226" s="16">
        <v>44573</v>
      </c>
      <c r="O226" s="61">
        <v>399.98</v>
      </c>
      <c r="P226" s="15" t="str">
        <f>TEXT(Table2[[#This Row],[Date]], "mm")</f>
        <v>02</v>
      </c>
    </row>
    <row r="227" spans="2:16" x14ac:dyDescent="0.35">
      <c r="B227" s="17" t="s">
        <v>396</v>
      </c>
      <c r="C227" s="16">
        <v>45715</v>
      </c>
      <c r="D227" s="15" t="s">
        <v>286</v>
      </c>
      <c r="E227" s="15" t="s">
        <v>287</v>
      </c>
      <c r="F227" s="15" t="s">
        <v>58</v>
      </c>
      <c r="G227" s="15" t="s">
        <v>59</v>
      </c>
      <c r="H227" s="15" t="s">
        <v>60</v>
      </c>
      <c r="I227" s="63">
        <v>4</v>
      </c>
      <c r="J227" s="65">
        <v>59.99</v>
      </c>
      <c r="K227" s="15" t="s">
        <v>47</v>
      </c>
      <c r="L227" s="15" t="s">
        <v>77</v>
      </c>
      <c r="M227" s="15" t="s">
        <v>63</v>
      </c>
      <c r="N227" s="16">
        <v>45070</v>
      </c>
      <c r="O227" s="61">
        <v>239.96</v>
      </c>
      <c r="P227" s="15" t="str">
        <f>TEXT(Table2[[#This Row],[Date]], "mm")</f>
        <v>02</v>
      </c>
    </row>
    <row r="228" spans="2:16" x14ac:dyDescent="0.35">
      <c r="B228" s="17" t="s">
        <v>397</v>
      </c>
      <c r="C228" s="16">
        <v>45715</v>
      </c>
      <c r="D228" s="15" t="s">
        <v>120</v>
      </c>
      <c r="E228" s="15" t="s">
        <v>121</v>
      </c>
      <c r="F228" s="15" t="s">
        <v>132</v>
      </c>
      <c r="G228" s="15" t="s">
        <v>133</v>
      </c>
      <c r="H228" s="15" t="s">
        <v>73</v>
      </c>
      <c r="I228" s="63">
        <v>2</v>
      </c>
      <c r="J228" s="65">
        <v>299.99</v>
      </c>
      <c r="K228" s="15" t="s">
        <v>61</v>
      </c>
      <c r="L228" s="15" t="s">
        <v>62</v>
      </c>
      <c r="M228" s="15" t="s">
        <v>49</v>
      </c>
      <c r="N228" s="16">
        <v>44576</v>
      </c>
      <c r="O228" s="61">
        <v>599.98</v>
      </c>
      <c r="P228" s="15" t="str">
        <f>TEXT(Table2[[#This Row],[Date]], "mm")</f>
        <v>02</v>
      </c>
    </row>
    <row r="229" spans="2:16" x14ac:dyDescent="0.35">
      <c r="B229" s="17" t="s">
        <v>398</v>
      </c>
      <c r="C229" s="16">
        <v>45718</v>
      </c>
      <c r="D229" s="15" t="s">
        <v>82</v>
      </c>
      <c r="E229" s="15" t="s">
        <v>83</v>
      </c>
      <c r="F229" s="15" t="s">
        <v>71</v>
      </c>
      <c r="G229" s="15" t="s">
        <v>72</v>
      </c>
      <c r="H229" s="15" t="s">
        <v>73</v>
      </c>
      <c r="I229" s="63">
        <v>2</v>
      </c>
      <c r="J229" s="65">
        <v>149.99</v>
      </c>
      <c r="K229" s="15" t="s">
        <v>47</v>
      </c>
      <c r="L229" s="15" t="s">
        <v>48</v>
      </c>
      <c r="M229" s="15" t="s">
        <v>49</v>
      </c>
      <c r="N229" s="16">
        <v>45068</v>
      </c>
      <c r="O229" s="61">
        <v>299.98</v>
      </c>
      <c r="P229" s="15" t="str">
        <f>TEXT(Table2[[#This Row],[Date]], "mm")</f>
        <v>03</v>
      </c>
    </row>
    <row r="230" spans="2:16" x14ac:dyDescent="0.35">
      <c r="B230" s="17" t="s">
        <v>399</v>
      </c>
      <c r="C230" s="16">
        <v>45720</v>
      </c>
      <c r="D230" s="15" t="s">
        <v>253</v>
      </c>
      <c r="E230" s="15" t="s">
        <v>254</v>
      </c>
      <c r="F230" s="15" t="s">
        <v>107</v>
      </c>
      <c r="G230" s="15" t="s">
        <v>108</v>
      </c>
      <c r="H230" s="15" t="s">
        <v>46</v>
      </c>
      <c r="I230" s="63">
        <v>5</v>
      </c>
      <c r="J230" s="65">
        <v>699.99</v>
      </c>
      <c r="K230" s="15" t="s">
        <v>84</v>
      </c>
      <c r="L230" s="15" t="s">
        <v>90</v>
      </c>
      <c r="M230" s="15" t="s">
        <v>54</v>
      </c>
      <c r="N230" s="16">
        <v>45161</v>
      </c>
      <c r="O230" s="61">
        <v>3499.95</v>
      </c>
      <c r="P230" s="15" t="str">
        <f>TEXT(Table2[[#This Row],[Date]], "mm")</f>
        <v>03</v>
      </c>
    </row>
    <row r="231" spans="2:16" x14ac:dyDescent="0.35">
      <c r="B231" s="17" t="s">
        <v>400</v>
      </c>
      <c r="C231" s="16">
        <v>45721</v>
      </c>
      <c r="D231" s="15" t="s">
        <v>102</v>
      </c>
      <c r="E231" s="15" t="s">
        <v>103</v>
      </c>
      <c r="F231" s="15" t="s">
        <v>58</v>
      </c>
      <c r="G231" s="15" t="s">
        <v>59</v>
      </c>
      <c r="H231" s="15" t="s">
        <v>60</v>
      </c>
      <c r="I231" s="63">
        <v>5</v>
      </c>
      <c r="J231" s="65">
        <v>59.99</v>
      </c>
      <c r="K231" s="15" t="s">
        <v>47</v>
      </c>
      <c r="L231" s="15" t="s">
        <v>77</v>
      </c>
      <c r="M231" s="15" t="s">
        <v>54</v>
      </c>
      <c r="N231" s="16">
        <v>45291</v>
      </c>
      <c r="O231" s="61">
        <v>299.95</v>
      </c>
      <c r="P231" s="15" t="str">
        <f>TEXT(Table2[[#This Row],[Date]], "mm")</f>
        <v>03</v>
      </c>
    </row>
    <row r="232" spans="2:16" x14ac:dyDescent="0.35">
      <c r="B232" s="17" t="s">
        <v>401</v>
      </c>
      <c r="C232" s="16">
        <v>45723</v>
      </c>
      <c r="D232" s="15" t="s">
        <v>42</v>
      </c>
      <c r="E232" s="15" t="s">
        <v>43</v>
      </c>
      <c r="F232" s="15" t="s">
        <v>144</v>
      </c>
      <c r="G232" s="15" t="s">
        <v>145</v>
      </c>
      <c r="H232" s="15" t="s">
        <v>46</v>
      </c>
      <c r="I232" s="63">
        <v>2</v>
      </c>
      <c r="J232" s="65">
        <v>89.99</v>
      </c>
      <c r="K232" s="15" t="s">
        <v>53</v>
      </c>
      <c r="L232" s="15" t="s">
        <v>77</v>
      </c>
      <c r="M232" s="15" t="s">
        <v>54</v>
      </c>
      <c r="N232" s="16">
        <v>45295</v>
      </c>
      <c r="O232" s="61">
        <v>179.98</v>
      </c>
      <c r="P232" s="15" t="str">
        <f>TEXT(Table2[[#This Row],[Date]], "mm")</f>
        <v>03</v>
      </c>
    </row>
    <row r="233" spans="2:16" x14ac:dyDescent="0.35">
      <c r="B233" s="17" t="s">
        <v>402</v>
      </c>
      <c r="C233" s="16">
        <v>45723</v>
      </c>
      <c r="D233" s="15" t="s">
        <v>147</v>
      </c>
      <c r="E233" s="15" t="s">
        <v>148</v>
      </c>
      <c r="F233" s="15" t="s">
        <v>44</v>
      </c>
      <c r="G233" s="15" t="s">
        <v>45</v>
      </c>
      <c r="H233" s="15" t="s">
        <v>46</v>
      </c>
      <c r="I233" s="63">
        <v>5</v>
      </c>
      <c r="J233" s="65">
        <v>249.99</v>
      </c>
      <c r="K233" s="15" t="s">
        <v>47</v>
      </c>
      <c r="L233" s="15" t="s">
        <v>90</v>
      </c>
      <c r="M233" s="15" t="s">
        <v>63</v>
      </c>
      <c r="N233" s="16">
        <v>44540</v>
      </c>
      <c r="O233" s="61">
        <v>1249.95</v>
      </c>
      <c r="P233" s="15" t="str">
        <f>TEXT(Table2[[#This Row],[Date]], "mm")</f>
        <v>03</v>
      </c>
    </row>
    <row r="234" spans="2:16" x14ac:dyDescent="0.35">
      <c r="B234" s="17" t="s">
        <v>403</v>
      </c>
      <c r="C234" s="16">
        <v>45724</v>
      </c>
      <c r="D234" s="15" t="s">
        <v>253</v>
      </c>
      <c r="E234" s="15" t="s">
        <v>254</v>
      </c>
      <c r="F234" s="15" t="s">
        <v>71</v>
      </c>
      <c r="G234" s="15" t="s">
        <v>72</v>
      </c>
      <c r="H234" s="15" t="s">
        <v>73</v>
      </c>
      <c r="I234" s="63">
        <v>2</v>
      </c>
      <c r="J234" s="65">
        <v>149.99</v>
      </c>
      <c r="K234" s="15" t="s">
        <v>61</v>
      </c>
      <c r="L234" s="15" t="s">
        <v>48</v>
      </c>
      <c r="M234" s="15" t="s">
        <v>54</v>
      </c>
      <c r="N234" s="16">
        <v>44632</v>
      </c>
      <c r="O234" s="61">
        <v>299.98</v>
      </c>
      <c r="P234" s="15" t="str">
        <f>TEXT(Table2[[#This Row],[Date]], "mm")</f>
        <v>03</v>
      </c>
    </row>
    <row r="235" spans="2:16" x14ac:dyDescent="0.35">
      <c r="B235" s="17" t="s">
        <v>404</v>
      </c>
      <c r="C235" s="16">
        <v>45724</v>
      </c>
      <c r="D235" s="15" t="s">
        <v>171</v>
      </c>
      <c r="E235" s="15" t="s">
        <v>172</v>
      </c>
      <c r="F235" s="15" t="s">
        <v>88</v>
      </c>
      <c r="G235" s="15" t="s">
        <v>89</v>
      </c>
      <c r="H235" s="15" t="s">
        <v>46</v>
      </c>
      <c r="I235" s="63">
        <v>5</v>
      </c>
      <c r="J235" s="65">
        <v>899.99</v>
      </c>
      <c r="K235" s="15" t="s">
        <v>61</v>
      </c>
      <c r="L235" s="15" t="s">
        <v>90</v>
      </c>
      <c r="M235" s="15" t="s">
        <v>54</v>
      </c>
      <c r="N235" s="16">
        <v>45389</v>
      </c>
      <c r="O235" s="61">
        <v>4499.95</v>
      </c>
      <c r="P235" s="15" t="str">
        <f>TEXT(Table2[[#This Row],[Date]], "mm")</f>
        <v>03</v>
      </c>
    </row>
    <row r="236" spans="2:16" x14ac:dyDescent="0.35">
      <c r="B236" s="17" t="s">
        <v>405</v>
      </c>
      <c r="C236" s="16">
        <v>45724</v>
      </c>
      <c r="D236" s="15" t="s">
        <v>82</v>
      </c>
      <c r="E236" s="15" t="s">
        <v>83</v>
      </c>
      <c r="F236" s="15" t="s">
        <v>71</v>
      </c>
      <c r="G236" s="15" t="s">
        <v>72</v>
      </c>
      <c r="H236" s="15" t="s">
        <v>73</v>
      </c>
      <c r="I236" s="63">
        <v>4</v>
      </c>
      <c r="J236" s="65">
        <v>149.99</v>
      </c>
      <c r="K236" s="15" t="s">
        <v>47</v>
      </c>
      <c r="L236" s="15" t="s">
        <v>48</v>
      </c>
      <c r="M236" s="15" t="s">
        <v>63</v>
      </c>
      <c r="N236" s="16">
        <v>45263</v>
      </c>
      <c r="O236" s="61">
        <v>599.96</v>
      </c>
      <c r="P236" s="15" t="str">
        <f>TEXT(Table2[[#This Row],[Date]], "mm")</f>
        <v>03</v>
      </c>
    </row>
    <row r="237" spans="2:16" x14ac:dyDescent="0.35">
      <c r="B237" s="17" t="s">
        <v>406</v>
      </c>
      <c r="C237" s="16">
        <v>45726</v>
      </c>
      <c r="D237" s="15" t="s">
        <v>171</v>
      </c>
      <c r="E237" s="15" t="s">
        <v>172</v>
      </c>
      <c r="F237" s="15" t="s">
        <v>44</v>
      </c>
      <c r="G237" s="15" t="s">
        <v>45</v>
      </c>
      <c r="H237" s="15" t="s">
        <v>46</v>
      </c>
      <c r="I237" s="63">
        <v>1</v>
      </c>
      <c r="J237" s="65">
        <v>249.99</v>
      </c>
      <c r="K237" s="15" t="s">
        <v>47</v>
      </c>
      <c r="L237" s="15" t="s">
        <v>67</v>
      </c>
      <c r="M237" s="15" t="s">
        <v>63</v>
      </c>
      <c r="N237" s="16">
        <v>45117</v>
      </c>
      <c r="O237" s="61">
        <v>249.99</v>
      </c>
      <c r="P237" s="15" t="str">
        <f>TEXT(Table2[[#This Row],[Date]], "mm")</f>
        <v>03</v>
      </c>
    </row>
    <row r="238" spans="2:16" x14ac:dyDescent="0.35">
      <c r="B238" s="17" t="s">
        <v>407</v>
      </c>
      <c r="C238" s="16">
        <v>45734</v>
      </c>
      <c r="D238" s="15" t="s">
        <v>219</v>
      </c>
      <c r="E238" s="15" t="s">
        <v>220</v>
      </c>
      <c r="F238" s="15" t="s">
        <v>58</v>
      </c>
      <c r="G238" s="15" t="s">
        <v>59</v>
      </c>
      <c r="H238" s="15" t="s">
        <v>60</v>
      </c>
      <c r="I238" s="63">
        <v>2</v>
      </c>
      <c r="J238" s="65">
        <v>59.99</v>
      </c>
      <c r="K238" s="15" t="s">
        <v>53</v>
      </c>
      <c r="L238" s="15" t="s">
        <v>77</v>
      </c>
      <c r="M238" s="15" t="s">
        <v>49</v>
      </c>
      <c r="N238" s="16">
        <v>45193</v>
      </c>
      <c r="O238" s="61">
        <v>119.98</v>
      </c>
      <c r="P238" s="15" t="str">
        <f>TEXT(Table2[[#This Row],[Date]], "mm")</f>
        <v>03</v>
      </c>
    </row>
    <row r="239" spans="2:16" x14ac:dyDescent="0.35">
      <c r="B239" s="17" t="s">
        <v>408</v>
      </c>
      <c r="C239" s="16">
        <v>45737</v>
      </c>
      <c r="D239" s="15" t="s">
        <v>159</v>
      </c>
      <c r="E239" s="15" t="s">
        <v>160</v>
      </c>
      <c r="F239" s="15" t="s">
        <v>71</v>
      </c>
      <c r="G239" s="15" t="s">
        <v>72</v>
      </c>
      <c r="H239" s="15" t="s">
        <v>73</v>
      </c>
      <c r="I239" s="63">
        <v>2</v>
      </c>
      <c r="J239" s="65">
        <v>149.99</v>
      </c>
      <c r="K239" s="15" t="s">
        <v>47</v>
      </c>
      <c r="L239" s="15" t="s">
        <v>77</v>
      </c>
      <c r="M239" s="15" t="s">
        <v>54</v>
      </c>
      <c r="N239" s="16">
        <v>45233</v>
      </c>
      <c r="O239" s="61">
        <v>299.98</v>
      </c>
      <c r="P239" s="15" t="str">
        <f>TEXT(Table2[[#This Row],[Date]], "mm")</f>
        <v>03</v>
      </c>
    </row>
    <row r="240" spans="2:16" x14ac:dyDescent="0.35">
      <c r="B240" s="17" t="s">
        <v>409</v>
      </c>
      <c r="C240" s="16">
        <v>45737</v>
      </c>
      <c r="D240" s="15" t="s">
        <v>177</v>
      </c>
      <c r="E240" s="15" t="s">
        <v>178</v>
      </c>
      <c r="F240" s="15" t="s">
        <v>88</v>
      </c>
      <c r="G240" s="15" t="s">
        <v>89</v>
      </c>
      <c r="H240" s="15" t="s">
        <v>46</v>
      </c>
      <c r="I240" s="63">
        <v>3</v>
      </c>
      <c r="J240" s="65">
        <v>899.99</v>
      </c>
      <c r="K240" s="15" t="s">
        <v>84</v>
      </c>
      <c r="L240" s="15" t="s">
        <v>67</v>
      </c>
      <c r="M240" s="15" t="s">
        <v>54</v>
      </c>
      <c r="N240" s="16">
        <v>44876</v>
      </c>
      <c r="O240" s="61">
        <v>2699.97</v>
      </c>
      <c r="P240" s="15" t="str">
        <f>TEXT(Table2[[#This Row],[Date]], "mm")</f>
        <v>03</v>
      </c>
    </row>
    <row r="241" spans="2:16" x14ac:dyDescent="0.35">
      <c r="B241" s="17" t="s">
        <v>410</v>
      </c>
      <c r="C241" s="16">
        <v>45737</v>
      </c>
      <c r="D241" s="15" t="s">
        <v>75</v>
      </c>
      <c r="E241" s="15" t="s">
        <v>76</v>
      </c>
      <c r="F241" s="15" t="s">
        <v>88</v>
      </c>
      <c r="G241" s="15" t="s">
        <v>89</v>
      </c>
      <c r="H241" s="15" t="s">
        <v>46</v>
      </c>
      <c r="I241" s="63">
        <v>3</v>
      </c>
      <c r="J241" s="65">
        <v>899.99</v>
      </c>
      <c r="K241" s="15" t="s">
        <v>61</v>
      </c>
      <c r="L241" s="15" t="s">
        <v>67</v>
      </c>
      <c r="M241" s="15" t="s">
        <v>49</v>
      </c>
      <c r="N241" s="16">
        <v>44975</v>
      </c>
      <c r="O241" s="61">
        <v>2699.97</v>
      </c>
      <c r="P241" s="15" t="str">
        <f>TEXT(Table2[[#This Row],[Date]], "mm")</f>
        <v>03</v>
      </c>
    </row>
    <row r="242" spans="2:16" x14ac:dyDescent="0.35">
      <c r="B242" s="17" t="s">
        <v>411</v>
      </c>
      <c r="C242" s="16">
        <v>45739</v>
      </c>
      <c r="D242" s="15" t="s">
        <v>42</v>
      </c>
      <c r="E242" s="15" t="s">
        <v>43</v>
      </c>
      <c r="F242" s="15" t="s">
        <v>132</v>
      </c>
      <c r="G242" s="15" t="s">
        <v>133</v>
      </c>
      <c r="H242" s="15" t="s">
        <v>73</v>
      </c>
      <c r="I242" s="63">
        <v>3</v>
      </c>
      <c r="J242" s="65">
        <v>299.99</v>
      </c>
      <c r="K242" s="15" t="s">
        <v>53</v>
      </c>
      <c r="L242" s="15" t="s">
        <v>77</v>
      </c>
      <c r="M242" s="15" t="s">
        <v>54</v>
      </c>
      <c r="N242" s="16">
        <v>45234</v>
      </c>
      <c r="O242" s="61">
        <v>899.97</v>
      </c>
      <c r="P242" s="15" t="str">
        <f>TEXT(Table2[[#This Row],[Date]], "mm")</f>
        <v>03</v>
      </c>
    </row>
    <row r="243" spans="2:16" x14ac:dyDescent="0.35">
      <c r="B243" s="17" t="s">
        <v>412</v>
      </c>
      <c r="C243" s="16">
        <v>45740</v>
      </c>
      <c r="D243" s="15" t="s">
        <v>413</v>
      </c>
      <c r="E243" s="15" t="s">
        <v>414</v>
      </c>
      <c r="F243" s="15" t="s">
        <v>71</v>
      </c>
      <c r="G243" s="15" t="s">
        <v>72</v>
      </c>
      <c r="H243" s="15" t="s">
        <v>73</v>
      </c>
      <c r="I243" s="63">
        <v>4</v>
      </c>
      <c r="J243" s="65">
        <v>149.99</v>
      </c>
      <c r="K243" s="15" t="s">
        <v>61</v>
      </c>
      <c r="L243" s="15" t="s">
        <v>77</v>
      </c>
      <c r="M243" s="15" t="s">
        <v>63</v>
      </c>
      <c r="N243" s="16">
        <v>44560</v>
      </c>
      <c r="O243" s="61">
        <v>599.96</v>
      </c>
      <c r="P243" s="15" t="str">
        <f>TEXT(Table2[[#This Row],[Date]], "mm")</f>
        <v>03</v>
      </c>
    </row>
    <row r="244" spans="2:16" x14ac:dyDescent="0.35">
      <c r="B244" s="17" t="s">
        <v>415</v>
      </c>
      <c r="C244" s="16">
        <v>45743</v>
      </c>
      <c r="D244" s="15" t="s">
        <v>129</v>
      </c>
      <c r="E244" s="15" t="s">
        <v>130</v>
      </c>
      <c r="F244" s="15" t="s">
        <v>141</v>
      </c>
      <c r="G244" s="15" t="s">
        <v>142</v>
      </c>
      <c r="H244" s="15" t="s">
        <v>60</v>
      </c>
      <c r="I244" s="63">
        <v>4</v>
      </c>
      <c r="J244" s="65">
        <v>79.989999999999995</v>
      </c>
      <c r="K244" s="15" t="s">
        <v>53</v>
      </c>
      <c r="L244" s="15" t="s">
        <v>48</v>
      </c>
      <c r="M244" s="15" t="s">
        <v>49</v>
      </c>
      <c r="N244" s="16">
        <v>45288</v>
      </c>
      <c r="O244" s="61">
        <v>319.95999999999998</v>
      </c>
      <c r="P244" s="15" t="str">
        <f>TEXT(Table2[[#This Row],[Date]], "mm")</f>
        <v>03</v>
      </c>
    </row>
    <row r="245" spans="2:16" x14ac:dyDescent="0.35">
      <c r="B245" s="17" t="s">
        <v>416</v>
      </c>
      <c r="C245" s="16">
        <v>45745</v>
      </c>
      <c r="D245" s="15" t="s">
        <v>212</v>
      </c>
      <c r="E245" s="15" t="s">
        <v>213</v>
      </c>
      <c r="F245" s="15" t="s">
        <v>144</v>
      </c>
      <c r="G245" s="15" t="s">
        <v>145</v>
      </c>
      <c r="H245" s="15" t="s">
        <v>46</v>
      </c>
      <c r="I245" s="63">
        <v>5</v>
      </c>
      <c r="J245" s="65">
        <v>89.99</v>
      </c>
      <c r="K245" s="15" t="s">
        <v>61</v>
      </c>
      <c r="L245" s="15" t="s">
        <v>62</v>
      </c>
      <c r="M245" s="15" t="s">
        <v>49</v>
      </c>
      <c r="N245" s="16">
        <v>44704</v>
      </c>
      <c r="O245" s="61">
        <v>449.95</v>
      </c>
      <c r="P245" s="15" t="str">
        <f>TEXT(Table2[[#This Row],[Date]], "mm")</f>
        <v>03</v>
      </c>
    </row>
    <row r="246" spans="2:16" x14ac:dyDescent="0.35">
      <c r="B246" s="17" t="s">
        <v>417</v>
      </c>
      <c r="C246" s="16">
        <v>45746</v>
      </c>
      <c r="D246" s="15" t="s">
        <v>120</v>
      </c>
      <c r="E246" s="15" t="s">
        <v>121</v>
      </c>
      <c r="F246" s="15" t="s">
        <v>71</v>
      </c>
      <c r="G246" s="15" t="s">
        <v>72</v>
      </c>
      <c r="H246" s="15" t="s">
        <v>73</v>
      </c>
      <c r="I246" s="63">
        <v>3</v>
      </c>
      <c r="J246" s="65">
        <v>149.99</v>
      </c>
      <c r="K246" s="15" t="s">
        <v>61</v>
      </c>
      <c r="L246" s="15" t="s">
        <v>48</v>
      </c>
      <c r="M246" s="15" t="s">
        <v>63</v>
      </c>
      <c r="N246" s="16">
        <v>45171</v>
      </c>
      <c r="O246" s="61">
        <v>449.97</v>
      </c>
      <c r="P246" s="15" t="str">
        <f>TEXT(Table2[[#This Row],[Date]], "mm")</f>
        <v>03</v>
      </c>
    </row>
    <row r="247" spans="2:16" x14ac:dyDescent="0.35">
      <c r="B247" s="17" t="s">
        <v>418</v>
      </c>
      <c r="C247" s="16">
        <v>45746</v>
      </c>
      <c r="D247" s="15" t="s">
        <v>92</v>
      </c>
      <c r="E247" s="15" t="s">
        <v>93</v>
      </c>
      <c r="F247" s="15" t="s">
        <v>144</v>
      </c>
      <c r="G247" s="15" t="s">
        <v>145</v>
      </c>
      <c r="H247" s="15" t="s">
        <v>46</v>
      </c>
      <c r="I247" s="63">
        <v>2</v>
      </c>
      <c r="J247" s="65">
        <v>89.99</v>
      </c>
      <c r="K247" s="15" t="s">
        <v>84</v>
      </c>
      <c r="L247" s="15" t="s">
        <v>77</v>
      </c>
      <c r="M247" s="15" t="s">
        <v>54</v>
      </c>
      <c r="N247" s="16">
        <v>44522</v>
      </c>
      <c r="O247" s="61">
        <v>179.98</v>
      </c>
      <c r="P247" s="15" t="str">
        <f>TEXT(Table2[[#This Row],[Date]], "mm")</f>
        <v>03</v>
      </c>
    </row>
    <row r="248" spans="2:16" x14ac:dyDescent="0.35">
      <c r="B248" s="17" t="s">
        <v>419</v>
      </c>
      <c r="C248" s="16">
        <v>45748</v>
      </c>
      <c r="D248" s="15" t="s">
        <v>129</v>
      </c>
      <c r="E248" s="15" t="s">
        <v>130</v>
      </c>
      <c r="F248" s="15" t="s">
        <v>107</v>
      </c>
      <c r="G248" s="15" t="s">
        <v>108</v>
      </c>
      <c r="H248" s="15" t="s">
        <v>46</v>
      </c>
      <c r="I248" s="63">
        <v>2</v>
      </c>
      <c r="J248" s="65">
        <v>699.99</v>
      </c>
      <c r="K248" s="15" t="s">
        <v>61</v>
      </c>
      <c r="L248" s="15" t="s">
        <v>67</v>
      </c>
      <c r="M248" s="15" t="s">
        <v>63</v>
      </c>
      <c r="N248" s="16">
        <v>44618</v>
      </c>
      <c r="O248" s="61">
        <v>1399.98</v>
      </c>
      <c r="P248" s="15" t="str">
        <f>TEXT(Table2[[#This Row],[Date]], "mm")</f>
        <v>04</v>
      </c>
    </row>
    <row r="249" spans="2:16" x14ac:dyDescent="0.35">
      <c r="B249" s="17" t="s">
        <v>420</v>
      </c>
      <c r="C249" s="16">
        <v>45749</v>
      </c>
      <c r="D249" s="15" t="s">
        <v>150</v>
      </c>
      <c r="E249" s="15" t="s">
        <v>151</v>
      </c>
      <c r="F249" s="15" t="s">
        <v>88</v>
      </c>
      <c r="G249" s="15" t="s">
        <v>89</v>
      </c>
      <c r="H249" s="15" t="s">
        <v>46</v>
      </c>
      <c r="I249" s="63">
        <v>3</v>
      </c>
      <c r="J249" s="65">
        <v>899.99</v>
      </c>
      <c r="K249" s="15" t="s">
        <v>47</v>
      </c>
      <c r="L249" s="15" t="s">
        <v>48</v>
      </c>
      <c r="M249" s="15" t="s">
        <v>63</v>
      </c>
      <c r="N249" s="16">
        <v>44953</v>
      </c>
      <c r="O249" s="61">
        <v>2699.97</v>
      </c>
      <c r="P249" s="15" t="str">
        <f>TEXT(Table2[[#This Row],[Date]], "mm")</f>
        <v>04</v>
      </c>
    </row>
    <row r="250" spans="2:16" x14ac:dyDescent="0.35">
      <c r="B250" s="17" t="s">
        <v>421</v>
      </c>
      <c r="C250" s="16">
        <v>45755</v>
      </c>
      <c r="D250" s="15" t="s">
        <v>120</v>
      </c>
      <c r="E250" s="15" t="s">
        <v>121</v>
      </c>
      <c r="F250" s="15" t="s">
        <v>141</v>
      </c>
      <c r="G250" s="15" t="s">
        <v>142</v>
      </c>
      <c r="H250" s="15" t="s">
        <v>60</v>
      </c>
      <c r="I250" s="63">
        <v>3</v>
      </c>
      <c r="J250" s="65">
        <v>79.989999999999995</v>
      </c>
      <c r="K250" s="15" t="s">
        <v>53</v>
      </c>
      <c r="L250" s="15" t="s">
        <v>67</v>
      </c>
      <c r="M250" s="15" t="s">
        <v>49</v>
      </c>
      <c r="N250" s="16">
        <v>44511</v>
      </c>
      <c r="O250" s="61">
        <v>239.97</v>
      </c>
      <c r="P250" s="15" t="str">
        <f>TEXT(Table2[[#This Row],[Date]], "mm")</f>
        <v>04</v>
      </c>
    </row>
    <row r="251" spans="2:16" x14ac:dyDescent="0.35">
      <c r="B251" s="17" t="s">
        <v>422</v>
      </c>
      <c r="C251" s="16">
        <v>45756</v>
      </c>
      <c r="D251" s="15" t="s">
        <v>86</v>
      </c>
      <c r="E251" s="15" t="s">
        <v>87</v>
      </c>
      <c r="F251" s="15" t="s">
        <v>144</v>
      </c>
      <c r="G251" s="15" t="s">
        <v>145</v>
      </c>
      <c r="H251" s="15" t="s">
        <v>46</v>
      </c>
      <c r="I251" s="63">
        <v>1</v>
      </c>
      <c r="J251" s="65">
        <v>89.99</v>
      </c>
      <c r="K251" s="15" t="s">
        <v>84</v>
      </c>
      <c r="L251" s="15" t="s">
        <v>90</v>
      </c>
      <c r="M251" s="15" t="s">
        <v>49</v>
      </c>
      <c r="N251" s="16">
        <v>45346</v>
      </c>
      <c r="O251" s="61">
        <v>89.99</v>
      </c>
      <c r="P251" s="15" t="str">
        <f>TEXT(Table2[[#This Row],[Date]], "mm")</f>
        <v>04</v>
      </c>
    </row>
    <row r="252" spans="2:16" x14ac:dyDescent="0.35">
      <c r="B252" s="17" t="s">
        <v>423</v>
      </c>
      <c r="C252" s="16">
        <v>45758</v>
      </c>
      <c r="D252" s="15" t="s">
        <v>320</v>
      </c>
      <c r="E252" s="15" t="s">
        <v>321</v>
      </c>
      <c r="F252" s="15" t="s">
        <v>107</v>
      </c>
      <c r="G252" s="15" t="s">
        <v>108</v>
      </c>
      <c r="H252" s="15" t="s">
        <v>46</v>
      </c>
      <c r="I252" s="63">
        <v>3</v>
      </c>
      <c r="J252" s="65">
        <v>699.99</v>
      </c>
      <c r="K252" s="15" t="s">
        <v>61</v>
      </c>
      <c r="L252" s="15" t="s">
        <v>67</v>
      </c>
      <c r="M252" s="15" t="s">
        <v>49</v>
      </c>
      <c r="N252" s="16">
        <v>44909</v>
      </c>
      <c r="O252" s="61">
        <v>2099.9699999999998</v>
      </c>
      <c r="P252" s="15" t="str">
        <f>TEXT(Table2[[#This Row],[Date]], "mm")</f>
        <v>04</v>
      </c>
    </row>
    <row r="253" spans="2:16" x14ac:dyDescent="0.35">
      <c r="B253" s="17" t="s">
        <v>424</v>
      </c>
      <c r="C253" s="16">
        <v>45758</v>
      </c>
      <c r="D253" s="15" t="s">
        <v>253</v>
      </c>
      <c r="E253" s="15" t="s">
        <v>254</v>
      </c>
      <c r="F253" s="15" t="s">
        <v>144</v>
      </c>
      <c r="G253" s="15" t="s">
        <v>145</v>
      </c>
      <c r="H253" s="15" t="s">
        <v>46</v>
      </c>
      <c r="I253" s="63">
        <v>2</v>
      </c>
      <c r="J253" s="65">
        <v>89.99</v>
      </c>
      <c r="K253" s="15" t="s">
        <v>84</v>
      </c>
      <c r="L253" s="15" t="s">
        <v>90</v>
      </c>
      <c r="M253" s="15" t="s">
        <v>49</v>
      </c>
      <c r="N253" s="16">
        <v>45088</v>
      </c>
      <c r="O253" s="61">
        <v>179.98</v>
      </c>
      <c r="P253" s="15" t="str">
        <f>TEXT(Table2[[#This Row],[Date]], "mm")</f>
        <v>04</v>
      </c>
    </row>
    <row r="254" spans="2:16" x14ac:dyDescent="0.35">
      <c r="B254" s="21" t="s">
        <v>425</v>
      </c>
      <c r="C254" s="22">
        <v>45758</v>
      </c>
      <c r="D254" s="23" t="s">
        <v>165</v>
      </c>
      <c r="E254" s="23" t="s">
        <v>166</v>
      </c>
      <c r="F254" s="23" t="s">
        <v>144</v>
      </c>
      <c r="G254" s="23" t="s">
        <v>145</v>
      </c>
      <c r="H254" s="23" t="s">
        <v>46</v>
      </c>
      <c r="I254" s="64">
        <v>3</v>
      </c>
      <c r="J254" s="66">
        <v>89.99</v>
      </c>
      <c r="K254" s="23" t="s">
        <v>84</v>
      </c>
      <c r="L254" s="23" t="s">
        <v>67</v>
      </c>
      <c r="M254" s="23" t="s">
        <v>54</v>
      </c>
      <c r="N254" s="22">
        <v>44878</v>
      </c>
      <c r="O254" s="62">
        <v>269.97000000000003</v>
      </c>
      <c r="P254" s="23" t="str">
        <f>TEXT(Table2[[#This Row],[Date]], "mm")</f>
        <v>04</v>
      </c>
    </row>
  </sheetData>
  <mergeCells count="1">
    <mergeCell ref="B1:P2"/>
  </mergeCells>
  <conditionalFormatting sqref="O5:O254">
    <cfRule type="iconSet" priority="1">
      <iconSet iconSet="3Arrows">
        <cfvo type="percent" val="0"/>
        <cfvo type="percent" val="33"/>
        <cfvo type="percent" val="67"/>
      </iconSet>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3810E-045F-4F99-BA4B-3FBB2658D30B}">
  <dimension ref="B2:AG1354"/>
  <sheetViews>
    <sheetView topLeftCell="A351" zoomScale="130" zoomScaleNormal="130" workbookViewId="0">
      <selection activeCell="I489" sqref="I489"/>
    </sheetView>
  </sheetViews>
  <sheetFormatPr defaultRowHeight="14.5" x14ac:dyDescent="0.35"/>
  <cols>
    <col min="2" max="2" width="15.36328125" bestFit="1" customWidth="1"/>
    <col min="3" max="3" width="10.36328125" bestFit="1" customWidth="1"/>
    <col min="4" max="4" width="12.08984375" customWidth="1"/>
    <col min="5" max="5" width="18.81640625" customWidth="1"/>
    <col min="6" max="6" width="15" customWidth="1"/>
    <col min="7" max="7" width="11.6328125" customWidth="1"/>
    <col min="8" max="8" width="16.453125" customWidth="1"/>
    <col min="9" max="9" width="17.6328125" customWidth="1"/>
    <col min="10" max="10" width="18.6328125" customWidth="1"/>
    <col min="11" max="11" width="12.54296875" customWidth="1"/>
    <col min="12" max="12" width="32.453125" customWidth="1"/>
    <col min="14" max="14" width="12.90625" customWidth="1"/>
    <col min="22" max="22" width="17.6328125" customWidth="1"/>
    <col min="24" max="24" width="12" customWidth="1"/>
    <col min="25" max="25" width="12.36328125" customWidth="1"/>
    <col min="28" max="28" width="13.90625" customWidth="1"/>
  </cols>
  <sheetData>
    <row r="2" spans="2:10" x14ac:dyDescent="0.35">
      <c r="B2" s="102" t="s">
        <v>427</v>
      </c>
      <c r="C2" s="103"/>
      <c r="D2" s="103"/>
      <c r="E2" s="103"/>
      <c r="F2" s="103"/>
      <c r="G2" s="103"/>
      <c r="H2" s="103"/>
      <c r="I2" s="103"/>
      <c r="J2" s="103"/>
    </row>
    <row r="3" spans="2:10" x14ac:dyDescent="0.35">
      <c r="B3" s="103"/>
      <c r="C3" s="103"/>
      <c r="D3" s="103"/>
      <c r="E3" s="103"/>
      <c r="F3" s="103"/>
      <c r="G3" s="103"/>
      <c r="H3" s="103"/>
      <c r="I3" s="103"/>
      <c r="J3" s="103"/>
    </row>
    <row r="4" spans="2:10" x14ac:dyDescent="0.35">
      <c r="B4" s="93"/>
      <c r="C4" s="93"/>
      <c r="D4" s="93"/>
      <c r="E4" s="93"/>
      <c r="F4" s="93"/>
      <c r="G4" s="93"/>
      <c r="H4" s="93"/>
      <c r="I4" s="93"/>
      <c r="J4" s="93"/>
    </row>
    <row r="5" spans="2:10" x14ac:dyDescent="0.35">
      <c r="B5" s="9"/>
      <c r="C5" s="24" t="s">
        <v>428</v>
      </c>
      <c r="D5" s="24"/>
      <c r="E5" s="24" t="s">
        <v>429</v>
      </c>
      <c r="F5" s="24"/>
      <c r="G5" s="24" t="s">
        <v>430</v>
      </c>
      <c r="H5" s="24"/>
      <c r="I5" s="24" t="s">
        <v>431</v>
      </c>
      <c r="J5" s="24"/>
    </row>
    <row r="6" spans="2:10" x14ac:dyDescent="0.35">
      <c r="B6" s="101"/>
      <c r="C6" s="101"/>
      <c r="D6" s="101"/>
      <c r="E6" s="101"/>
      <c r="F6" s="101"/>
      <c r="G6" s="101"/>
      <c r="H6" s="101"/>
      <c r="I6" s="101"/>
      <c r="J6" s="101"/>
    </row>
    <row r="7" spans="2:10" x14ac:dyDescent="0.35">
      <c r="B7" s="32"/>
      <c r="C7" s="26">
        <f ca="1">TODAY()</f>
        <v>46182</v>
      </c>
      <c r="D7" s="32"/>
      <c r="E7" s="27">
        <f ca="1">NOW()</f>
        <v>46182.447338773149</v>
      </c>
      <c r="F7" s="32"/>
      <c r="G7" s="28" cm="1">
        <f t="array" ref="G7:G256">Table2[Date] - Table2[Customer_Since]</f>
        <v>968</v>
      </c>
      <c r="H7" s="32"/>
      <c r="I7" s="26">
        <f>EOMONTH('Raw Data'!N5, 0)</f>
        <v>44439</v>
      </c>
      <c r="J7" s="32"/>
    </row>
    <row r="8" spans="2:10" x14ac:dyDescent="0.35">
      <c r="B8" s="32"/>
      <c r="C8" s="25"/>
      <c r="D8" s="25"/>
      <c r="E8" s="25"/>
      <c r="F8" s="32"/>
      <c r="G8" s="30">
        <v>821</v>
      </c>
      <c r="H8" s="32"/>
      <c r="I8" s="26">
        <f>EOMONTH('Raw Data'!N6, 0)</f>
        <v>44592</v>
      </c>
      <c r="J8" s="32"/>
    </row>
    <row r="9" spans="2:10" x14ac:dyDescent="0.35">
      <c r="B9" s="32"/>
      <c r="C9" s="25"/>
      <c r="D9" s="25"/>
      <c r="E9" s="25"/>
      <c r="F9" s="32"/>
      <c r="G9" s="30">
        <v>137</v>
      </c>
      <c r="H9" s="32"/>
      <c r="I9" s="26">
        <f>EOMONTH('Raw Data'!N7, 0)</f>
        <v>45291</v>
      </c>
      <c r="J9" s="32"/>
    </row>
    <row r="10" spans="2:10" x14ac:dyDescent="0.35">
      <c r="B10" s="32"/>
      <c r="C10" s="25"/>
      <c r="D10" s="25"/>
      <c r="E10" s="25"/>
      <c r="F10" s="32"/>
      <c r="G10" s="30">
        <v>286</v>
      </c>
      <c r="H10" s="32"/>
      <c r="I10" s="26">
        <f>EOMONTH('Raw Data'!N8, 0)</f>
        <v>45138</v>
      </c>
      <c r="J10" s="32"/>
    </row>
    <row r="11" spans="2:10" x14ac:dyDescent="0.35">
      <c r="B11" s="32"/>
      <c r="C11" s="25"/>
      <c r="D11" s="25"/>
      <c r="E11" s="25"/>
      <c r="F11" s="32"/>
      <c r="G11" s="30">
        <v>105</v>
      </c>
      <c r="H11" s="32"/>
      <c r="I11" s="26">
        <f>EOMONTH('Raw Data'!N9, 0)</f>
        <v>45322</v>
      </c>
      <c r="J11" s="32"/>
    </row>
    <row r="12" spans="2:10" x14ac:dyDescent="0.35">
      <c r="B12" s="32"/>
      <c r="C12" s="25"/>
      <c r="D12" s="25"/>
      <c r="E12" s="25"/>
      <c r="F12" s="32"/>
      <c r="G12" s="30">
        <v>657</v>
      </c>
      <c r="H12" s="32"/>
      <c r="I12" s="26">
        <f>EOMONTH('Raw Data'!N10, 0)</f>
        <v>44773</v>
      </c>
      <c r="J12" s="32"/>
    </row>
    <row r="13" spans="2:10" x14ac:dyDescent="0.35">
      <c r="B13" s="32"/>
      <c r="C13" s="25"/>
      <c r="D13" s="25"/>
      <c r="E13" s="25"/>
      <c r="F13" s="32"/>
      <c r="G13" s="30">
        <v>985</v>
      </c>
      <c r="H13" s="32"/>
      <c r="I13" s="26">
        <f>EOMONTH('Raw Data'!N11, 0)</f>
        <v>44439</v>
      </c>
      <c r="J13" s="32"/>
    </row>
    <row r="14" spans="2:10" x14ac:dyDescent="0.35">
      <c r="B14" s="32"/>
      <c r="C14" s="25"/>
      <c r="D14" s="25"/>
      <c r="E14" s="25"/>
      <c r="F14" s="32"/>
      <c r="G14" s="30">
        <v>396</v>
      </c>
      <c r="H14" s="32"/>
      <c r="I14" s="26">
        <f>EOMONTH('Raw Data'!N12, 0)</f>
        <v>45016</v>
      </c>
      <c r="J14" s="32"/>
    </row>
    <row r="15" spans="2:10" x14ac:dyDescent="0.35">
      <c r="B15" s="32"/>
      <c r="C15" s="25"/>
      <c r="D15" s="25"/>
      <c r="E15" s="25"/>
      <c r="F15" s="32"/>
      <c r="G15" s="30">
        <v>106</v>
      </c>
      <c r="H15" s="32"/>
      <c r="I15" s="26">
        <f>EOMONTH('Raw Data'!N13, 0)</f>
        <v>45322</v>
      </c>
      <c r="J15" s="32"/>
    </row>
    <row r="16" spans="2:10" x14ac:dyDescent="0.35">
      <c r="B16" s="32"/>
      <c r="C16" s="25"/>
      <c r="D16" s="25"/>
      <c r="E16" s="25"/>
      <c r="F16" s="32"/>
      <c r="G16" s="30">
        <v>201</v>
      </c>
      <c r="H16" s="32"/>
      <c r="I16" s="26">
        <f>EOMONTH('Raw Data'!N14, 0)</f>
        <v>45230</v>
      </c>
      <c r="J16" s="32"/>
    </row>
    <row r="17" spans="2:10" x14ac:dyDescent="0.35">
      <c r="B17" s="32"/>
      <c r="C17" s="25"/>
      <c r="D17" s="25"/>
      <c r="E17" s="25"/>
      <c r="F17" s="32"/>
      <c r="G17" s="30">
        <v>305</v>
      </c>
      <c r="H17" s="32"/>
      <c r="I17" s="26">
        <f>EOMONTH('Raw Data'!N15, 0)</f>
        <v>45107</v>
      </c>
      <c r="J17" s="32"/>
    </row>
    <row r="18" spans="2:10" x14ac:dyDescent="0.35">
      <c r="B18" s="32"/>
      <c r="C18" s="25"/>
      <c r="D18" s="25"/>
      <c r="E18" s="25"/>
      <c r="F18" s="32"/>
      <c r="G18" s="30">
        <v>578</v>
      </c>
      <c r="H18" s="32"/>
      <c r="I18" s="26">
        <f>EOMONTH('Raw Data'!N16, 0)</f>
        <v>44834</v>
      </c>
      <c r="J18" s="32"/>
    </row>
    <row r="19" spans="2:10" x14ac:dyDescent="0.35">
      <c r="B19" s="32"/>
      <c r="C19" s="25"/>
      <c r="D19" s="25"/>
      <c r="E19" s="25"/>
      <c r="F19" s="32"/>
      <c r="G19" s="30">
        <v>602</v>
      </c>
      <c r="H19" s="32"/>
      <c r="I19" s="26">
        <f>EOMONTH('Raw Data'!N17, 0)</f>
        <v>44834</v>
      </c>
      <c r="J19" s="32"/>
    </row>
    <row r="20" spans="2:10" x14ac:dyDescent="0.35">
      <c r="B20" s="32"/>
      <c r="C20" s="25"/>
      <c r="D20" s="25"/>
      <c r="E20" s="25"/>
      <c r="F20" s="32"/>
      <c r="G20" s="30">
        <v>58</v>
      </c>
      <c r="H20" s="32"/>
      <c r="I20" s="26">
        <f>EOMONTH('Raw Data'!N18, 0)</f>
        <v>45351</v>
      </c>
      <c r="J20" s="32"/>
    </row>
    <row r="21" spans="2:10" x14ac:dyDescent="0.35">
      <c r="B21" s="32"/>
      <c r="C21" s="25"/>
      <c r="D21" s="25"/>
      <c r="E21" s="25"/>
      <c r="F21" s="32"/>
      <c r="G21" s="30">
        <v>832</v>
      </c>
      <c r="H21" s="32"/>
      <c r="I21" s="26">
        <f>EOMONTH('Raw Data'!N19, 0)</f>
        <v>44592</v>
      </c>
      <c r="J21" s="32"/>
    </row>
    <row r="22" spans="2:10" x14ac:dyDescent="0.35">
      <c r="B22" s="32"/>
      <c r="C22" s="25"/>
      <c r="D22" s="25"/>
      <c r="E22" s="25"/>
      <c r="F22" s="32"/>
      <c r="G22" s="30">
        <v>489</v>
      </c>
      <c r="H22" s="32"/>
      <c r="I22" s="26">
        <f>EOMONTH('Raw Data'!N20, 0)</f>
        <v>44926</v>
      </c>
      <c r="J22" s="32"/>
    </row>
    <row r="23" spans="2:10" x14ac:dyDescent="0.35">
      <c r="B23" s="32"/>
      <c r="C23" s="25"/>
      <c r="D23" s="25"/>
      <c r="E23" s="25"/>
      <c r="F23" s="32"/>
      <c r="G23" s="30">
        <v>36</v>
      </c>
      <c r="H23" s="32"/>
      <c r="I23" s="26">
        <f>EOMONTH('Raw Data'!N21, 0)</f>
        <v>45382</v>
      </c>
      <c r="J23" s="32"/>
    </row>
    <row r="24" spans="2:10" x14ac:dyDescent="0.35">
      <c r="B24" s="32"/>
      <c r="C24" s="25"/>
      <c r="D24" s="25"/>
      <c r="E24" s="25"/>
      <c r="F24" s="32"/>
      <c r="G24" s="30">
        <v>629</v>
      </c>
      <c r="H24" s="32"/>
      <c r="I24" s="26">
        <f>EOMONTH('Raw Data'!N22, 0)</f>
        <v>44804</v>
      </c>
      <c r="J24" s="32"/>
    </row>
    <row r="25" spans="2:10" x14ac:dyDescent="0.35">
      <c r="B25" s="32"/>
      <c r="C25" s="25"/>
      <c r="D25" s="25"/>
      <c r="E25" s="25"/>
      <c r="F25" s="32"/>
      <c r="G25" s="30">
        <v>83</v>
      </c>
      <c r="H25" s="32"/>
      <c r="I25" s="26">
        <f>EOMONTH('Raw Data'!N23, 0)</f>
        <v>45351</v>
      </c>
      <c r="J25" s="32"/>
    </row>
    <row r="26" spans="2:10" x14ac:dyDescent="0.35">
      <c r="B26" s="32"/>
      <c r="C26" s="25"/>
      <c r="D26" s="25"/>
      <c r="E26" s="25"/>
      <c r="F26" s="32"/>
      <c r="G26" s="30">
        <v>186</v>
      </c>
      <c r="H26" s="32"/>
      <c r="I26" s="26">
        <f>EOMONTH('Raw Data'!N24, 0)</f>
        <v>45230</v>
      </c>
      <c r="J26" s="32"/>
    </row>
    <row r="27" spans="2:10" x14ac:dyDescent="0.35">
      <c r="B27" s="32"/>
      <c r="C27" s="25"/>
      <c r="D27" s="25"/>
      <c r="E27" s="25"/>
      <c r="F27" s="32"/>
      <c r="G27" s="30">
        <v>245</v>
      </c>
      <c r="H27" s="32"/>
      <c r="I27" s="26">
        <f>EOMONTH('Raw Data'!N25, 0)</f>
        <v>45169</v>
      </c>
      <c r="J27" s="32"/>
    </row>
    <row r="28" spans="2:10" x14ac:dyDescent="0.35">
      <c r="B28" s="32"/>
      <c r="C28" s="25"/>
      <c r="D28" s="25"/>
      <c r="E28" s="25"/>
      <c r="F28" s="32"/>
      <c r="G28" s="30">
        <v>1004</v>
      </c>
      <c r="H28" s="32"/>
      <c r="I28" s="26">
        <f>EOMONTH('Raw Data'!N26, 0)</f>
        <v>44439</v>
      </c>
      <c r="J28" s="32"/>
    </row>
    <row r="29" spans="2:10" x14ac:dyDescent="0.35">
      <c r="B29" s="32"/>
      <c r="C29" s="25"/>
      <c r="D29" s="25"/>
      <c r="E29" s="25"/>
      <c r="F29" s="32"/>
      <c r="G29" s="30">
        <v>947</v>
      </c>
      <c r="H29" s="32"/>
      <c r="I29" s="26">
        <f>EOMONTH('Raw Data'!N27, 0)</f>
        <v>44469</v>
      </c>
      <c r="J29" s="32"/>
    </row>
    <row r="30" spans="2:10" x14ac:dyDescent="0.35">
      <c r="B30" s="32"/>
      <c r="C30" s="25"/>
      <c r="D30" s="25"/>
      <c r="E30" s="25"/>
      <c r="F30" s="32"/>
      <c r="G30" s="30">
        <v>700</v>
      </c>
      <c r="H30" s="32"/>
      <c r="I30" s="26">
        <f>EOMONTH('Raw Data'!N28, 0)</f>
        <v>44742</v>
      </c>
      <c r="J30" s="32"/>
    </row>
    <row r="31" spans="2:10" x14ac:dyDescent="0.35">
      <c r="B31" s="32"/>
      <c r="C31" s="25"/>
      <c r="D31" s="25"/>
      <c r="E31" s="25"/>
      <c r="F31" s="32"/>
      <c r="G31" s="30">
        <v>897</v>
      </c>
      <c r="H31" s="32"/>
      <c r="I31" s="26">
        <f>EOMONTH('Raw Data'!N29, 0)</f>
        <v>44530</v>
      </c>
      <c r="J31" s="32"/>
    </row>
    <row r="32" spans="2:10" x14ac:dyDescent="0.35">
      <c r="B32" s="32"/>
      <c r="C32" s="25"/>
      <c r="D32" s="25"/>
      <c r="E32" s="25"/>
      <c r="F32" s="32"/>
      <c r="G32" s="30">
        <v>256</v>
      </c>
      <c r="H32" s="32"/>
      <c r="I32" s="26">
        <f>EOMONTH('Raw Data'!N30, 0)</f>
        <v>45169</v>
      </c>
      <c r="J32" s="32"/>
    </row>
    <row r="33" spans="2:10" x14ac:dyDescent="0.35">
      <c r="B33" s="32"/>
      <c r="C33" s="25"/>
      <c r="D33" s="25"/>
      <c r="E33" s="25"/>
      <c r="F33" s="32"/>
      <c r="G33" s="30">
        <v>412</v>
      </c>
      <c r="H33" s="32"/>
      <c r="I33" s="26">
        <f>EOMONTH('Raw Data'!N31, 0)</f>
        <v>45016</v>
      </c>
      <c r="J33" s="32"/>
    </row>
    <row r="34" spans="2:10" x14ac:dyDescent="0.35">
      <c r="B34" s="32"/>
      <c r="C34" s="25"/>
      <c r="D34" s="25"/>
      <c r="E34" s="25"/>
      <c r="F34" s="32"/>
      <c r="G34" s="30">
        <v>505</v>
      </c>
      <c r="H34" s="32"/>
      <c r="I34" s="26">
        <f>EOMONTH('Raw Data'!N32, 0)</f>
        <v>44926</v>
      </c>
      <c r="J34" s="32"/>
    </row>
    <row r="35" spans="2:10" x14ac:dyDescent="0.35">
      <c r="B35" s="32"/>
      <c r="C35" s="25"/>
      <c r="D35" s="25"/>
      <c r="E35" s="25"/>
      <c r="F35" s="32"/>
      <c r="G35" s="30">
        <v>211</v>
      </c>
      <c r="H35" s="32"/>
      <c r="I35" s="26">
        <f>EOMONTH('Raw Data'!N33, 0)</f>
        <v>45230</v>
      </c>
      <c r="J35" s="32"/>
    </row>
    <row r="36" spans="2:10" x14ac:dyDescent="0.35">
      <c r="B36" s="32"/>
      <c r="C36" s="25"/>
      <c r="D36" s="25"/>
      <c r="E36" s="25"/>
      <c r="F36" s="32"/>
      <c r="G36" s="30">
        <v>560</v>
      </c>
      <c r="H36" s="32"/>
      <c r="I36" s="26">
        <f>EOMONTH('Raw Data'!N34, 0)</f>
        <v>44895</v>
      </c>
      <c r="J36" s="32"/>
    </row>
    <row r="37" spans="2:10" x14ac:dyDescent="0.35">
      <c r="B37" s="32"/>
      <c r="C37" s="25"/>
      <c r="D37" s="25"/>
      <c r="E37" s="25"/>
      <c r="F37" s="32"/>
      <c r="G37" s="30">
        <v>1015</v>
      </c>
      <c r="H37" s="32"/>
      <c r="I37" s="26">
        <f>EOMONTH('Raw Data'!N35, 0)</f>
        <v>44439</v>
      </c>
      <c r="J37" s="32"/>
    </row>
    <row r="38" spans="2:10" x14ac:dyDescent="0.35">
      <c r="B38" s="32"/>
      <c r="C38" s="25"/>
      <c r="D38" s="25"/>
      <c r="E38" s="25"/>
      <c r="F38" s="32"/>
      <c r="G38" s="30">
        <v>605</v>
      </c>
      <c r="H38" s="32"/>
      <c r="I38" s="26">
        <f>EOMONTH('Raw Data'!N36, 0)</f>
        <v>44834</v>
      </c>
      <c r="J38" s="32"/>
    </row>
    <row r="39" spans="2:10" x14ac:dyDescent="0.35">
      <c r="B39" s="32"/>
      <c r="C39" s="25"/>
      <c r="D39" s="25"/>
      <c r="E39" s="25"/>
      <c r="F39" s="32"/>
      <c r="G39" s="30">
        <v>362</v>
      </c>
      <c r="H39" s="32"/>
      <c r="I39" s="26">
        <f>EOMONTH('Raw Data'!N37, 0)</f>
        <v>45077</v>
      </c>
      <c r="J39" s="32"/>
    </row>
    <row r="40" spans="2:10" x14ac:dyDescent="0.35">
      <c r="B40" s="32"/>
      <c r="C40" s="25"/>
      <c r="D40" s="25"/>
      <c r="E40" s="25"/>
      <c r="F40" s="32"/>
      <c r="G40" s="30">
        <v>854</v>
      </c>
      <c r="H40" s="32"/>
      <c r="I40" s="26">
        <f>EOMONTH('Raw Data'!N38, 0)</f>
        <v>44592</v>
      </c>
      <c r="J40" s="32"/>
    </row>
    <row r="41" spans="2:10" x14ac:dyDescent="0.35">
      <c r="B41" s="32"/>
      <c r="C41" s="25"/>
      <c r="D41" s="25"/>
      <c r="E41" s="25"/>
      <c r="F41" s="32"/>
      <c r="G41" s="30">
        <v>610</v>
      </c>
      <c r="H41" s="32"/>
      <c r="I41" s="26">
        <f>EOMONTH('Raw Data'!N39, 0)</f>
        <v>44834</v>
      </c>
      <c r="J41" s="32"/>
    </row>
    <row r="42" spans="2:10" x14ac:dyDescent="0.35">
      <c r="B42" s="32"/>
      <c r="C42" s="25"/>
      <c r="D42" s="25"/>
      <c r="E42" s="25"/>
      <c r="F42" s="32"/>
      <c r="G42" s="30">
        <v>389</v>
      </c>
      <c r="H42" s="32"/>
      <c r="I42" s="26">
        <f>EOMONTH('Raw Data'!N40, 0)</f>
        <v>45046</v>
      </c>
      <c r="J42" s="32"/>
    </row>
    <row r="43" spans="2:10" x14ac:dyDescent="0.35">
      <c r="B43" s="32"/>
      <c r="C43" s="25"/>
      <c r="D43" s="25"/>
      <c r="E43" s="25"/>
      <c r="F43" s="32"/>
      <c r="G43" s="30">
        <v>146</v>
      </c>
      <c r="H43" s="32"/>
      <c r="I43" s="26">
        <f>EOMONTH('Raw Data'!N41, 0)</f>
        <v>45322</v>
      </c>
      <c r="J43" s="32"/>
    </row>
    <row r="44" spans="2:10" x14ac:dyDescent="0.35">
      <c r="B44" s="32"/>
      <c r="C44" s="25"/>
      <c r="D44" s="25"/>
      <c r="E44" s="25"/>
      <c r="F44" s="32"/>
      <c r="G44" s="30">
        <v>1033</v>
      </c>
      <c r="H44" s="32"/>
      <c r="I44" s="26">
        <f>EOMONTH('Raw Data'!N42, 0)</f>
        <v>44408</v>
      </c>
      <c r="J44" s="32"/>
    </row>
    <row r="45" spans="2:10" x14ac:dyDescent="0.35">
      <c r="B45" s="32"/>
      <c r="C45" s="25"/>
      <c r="D45" s="25"/>
      <c r="E45" s="25"/>
      <c r="F45" s="32"/>
      <c r="G45" s="30">
        <v>321</v>
      </c>
      <c r="H45" s="32"/>
      <c r="I45" s="26">
        <f>EOMONTH('Raw Data'!N43, 0)</f>
        <v>45138</v>
      </c>
      <c r="J45" s="32"/>
    </row>
    <row r="46" spans="2:10" x14ac:dyDescent="0.35">
      <c r="B46" s="32"/>
      <c r="C46" s="25"/>
      <c r="D46" s="25"/>
      <c r="E46" s="25"/>
      <c r="F46" s="32"/>
      <c r="G46" s="30">
        <v>526</v>
      </c>
      <c r="H46" s="32"/>
      <c r="I46" s="26">
        <f>EOMONTH('Raw Data'!N44, 0)</f>
        <v>44926</v>
      </c>
      <c r="J46" s="32"/>
    </row>
    <row r="47" spans="2:10" x14ac:dyDescent="0.35">
      <c r="B47" s="32"/>
      <c r="C47" s="25"/>
      <c r="D47" s="25"/>
      <c r="E47" s="25"/>
      <c r="F47" s="32"/>
      <c r="G47" s="30">
        <v>54</v>
      </c>
      <c r="H47" s="32"/>
      <c r="I47" s="26">
        <f>EOMONTH('Raw Data'!N45, 0)</f>
        <v>45412</v>
      </c>
      <c r="J47" s="32"/>
    </row>
    <row r="48" spans="2:10" x14ac:dyDescent="0.35">
      <c r="B48" s="32"/>
      <c r="C48" s="25"/>
      <c r="D48" s="25"/>
      <c r="E48" s="25"/>
      <c r="F48" s="32"/>
      <c r="G48" s="30">
        <v>303</v>
      </c>
      <c r="H48" s="32"/>
      <c r="I48" s="26">
        <f>EOMONTH('Raw Data'!N46, 0)</f>
        <v>45169</v>
      </c>
      <c r="J48" s="32"/>
    </row>
    <row r="49" spans="2:10" x14ac:dyDescent="0.35">
      <c r="B49" s="32"/>
      <c r="C49" s="25"/>
      <c r="D49" s="25"/>
      <c r="E49" s="25"/>
      <c r="F49" s="32"/>
      <c r="G49" s="30">
        <v>859</v>
      </c>
      <c r="H49" s="32"/>
      <c r="I49" s="26">
        <f>EOMONTH('Raw Data'!N47, 0)</f>
        <v>44592</v>
      </c>
      <c r="J49" s="32"/>
    </row>
    <row r="50" spans="2:10" x14ac:dyDescent="0.35">
      <c r="B50" s="32"/>
      <c r="C50" s="25"/>
      <c r="D50" s="25"/>
      <c r="E50" s="25"/>
      <c r="F50" s="32"/>
      <c r="G50" s="30">
        <v>742</v>
      </c>
      <c r="H50" s="32"/>
      <c r="I50" s="26">
        <f>EOMONTH('Raw Data'!N48, 0)</f>
        <v>44712</v>
      </c>
      <c r="J50" s="32"/>
    </row>
    <row r="51" spans="2:10" x14ac:dyDescent="0.35">
      <c r="B51" s="32"/>
      <c r="C51" s="25"/>
      <c r="D51" s="25"/>
      <c r="E51" s="25"/>
      <c r="F51" s="32"/>
      <c r="G51" s="30">
        <v>867</v>
      </c>
      <c r="H51" s="32"/>
      <c r="I51" s="26">
        <f>EOMONTH('Raw Data'!N49, 0)</f>
        <v>44592</v>
      </c>
      <c r="J51" s="32"/>
    </row>
    <row r="52" spans="2:10" x14ac:dyDescent="0.35">
      <c r="B52" s="32"/>
      <c r="C52" s="25"/>
      <c r="D52" s="25"/>
      <c r="E52" s="25"/>
      <c r="F52" s="32"/>
      <c r="G52" s="30">
        <v>805</v>
      </c>
      <c r="H52" s="32"/>
      <c r="I52" s="26">
        <f>EOMONTH('Raw Data'!N50, 0)</f>
        <v>44651</v>
      </c>
      <c r="J52" s="32"/>
    </row>
    <row r="53" spans="2:10" x14ac:dyDescent="0.35">
      <c r="B53" s="32"/>
      <c r="C53" s="25"/>
      <c r="D53" s="25"/>
      <c r="E53" s="25"/>
      <c r="F53" s="32"/>
      <c r="G53" s="30">
        <v>1017</v>
      </c>
      <c r="H53" s="32"/>
      <c r="I53" s="26">
        <f>EOMONTH('Raw Data'!N51, 0)</f>
        <v>44439</v>
      </c>
      <c r="J53" s="32"/>
    </row>
    <row r="54" spans="2:10" x14ac:dyDescent="0.35">
      <c r="B54" s="32"/>
      <c r="C54" s="25"/>
      <c r="D54" s="25"/>
      <c r="E54" s="25"/>
      <c r="F54" s="32"/>
      <c r="G54" s="30">
        <v>877</v>
      </c>
      <c r="H54" s="32"/>
      <c r="I54" s="26">
        <f>EOMONTH('Raw Data'!N52, 0)</f>
        <v>44592</v>
      </c>
      <c r="J54" s="32"/>
    </row>
    <row r="55" spans="2:10" x14ac:dyDescent="0.35">
      <c r="B55" s="32"/>
      <c r="C55" s="25"/>
      <c r="D55" s="25"/>
      <c r="E55" s="25"/>
      <c r="F55" s="32"/>
      <c r="G55" s="30">
        <v>988</v>
      </c>
      <c r="H55" s="32"/>
      <c r="I55" s="26">
        <f>EOMONTH('Raw Data'!N53, 0)</f>
        <v>44500</v>
      </c>
      <c r="J55" s="32"/>
    </row>
    <row r="56" spans="2:10" x14ac:dyDescent="0.35">
      <c r="B56" s="32"/>
      <c r="C56" s="25"/>
      <c r="D56" s="25"/>
      <c r="E56" s="25"/>
      <c r="F56" s="32"/>
      <c r="G56" s="30">
        <v>485</v>
      </c>
      <c r="H56" s="32"/>
      <c r="I56" s="26">
        <f>EOMONTH('Raw Data'!N54, 0)</f>
        <v>44985</v>
      </c>
      <c r="J56" s="32"/>
    </row>
    <row r="57" spans="2:10" x14ac:dyDescent="0.35">
      <c r="B57" s="32"/>
      <c r="C57" s="25"/>
      <c r="D57" s="25"/>
      <c r="E57" s="25"/>
      <c r="F57" s="32"/>
      <c r="G57" s="30">
        <v>181</v>
      </c>
      <c r="H57" s="32"/>
      <c r="I57" s="26">
        <f>EOMONTH('Raw Data'!N55, 0)</f>
        <v>45291</v>
      </c>
      <c r="J57" s="32"/>
    </row>
    <row r="58" spans="2:10" x14ac:dyDescent="0.35">
      <c r="B58" s="32"/>
      <c r="C58" s="25"/>
      <c r="D58" s="25"/>
      <c r="E58" s="25"/>
      <c r="F58" s="32"/>
      <c r="G58" s="30">
        <v>270</v>
      </c>
      <c r="H58" s="32"/>
      <c r="I58" s="26">
        <f>EOMONTH('Raw Data'!N56, 0)</f>
        <v>45199</v>
      </c>
      <c r="J58" s="32"/>
    </row>
    <row r="59" spans="2:10" x14ac:dyDescent="0.35">
      <c r="B59" s="32"/>
      <c r="C59" s="25"/>
      <c r="D59" s="25"/>
      <c r="E59" s="25"/>
      <c r="F59" s="32"/>
      <c r="G59" s="30">
        <v>207</v>
      </c>
      <c r="H59" s="32"/>
      <c r="I59" s="26">
        <f>EOMONTH('Raw Data'!N57, 0)</f>
        <v>45260</v>
      </c>
      <c r="J59" s="32"/>
    </row>
    <row r="60" spans="2:10" x14ac:dyDescent="0.35">
      <c r="B60" s="32"/>
      <c r="C60" s="25"/>
      <c r="D60" s="25"/>
      <c r="E60" s="25"/>
      <c r="F60" s="32"/>
      <c r="G60" s="30">
        <v>187</v>
      </c>
      <c r="H60" s="32"/>
      <c r="I60" s="26">
        <f>EOMONTH('Raw Data'!N58, 0)</f>
        <v>45291</v>
      </c>
      <c r="J60" s="32"/>
    </row>
    <row r="61" spans="2:10" x14ac:dyDescent="0.35">
      <c r="B61" s="32"/>
      <c r="C61" s="25"/>
      <c r="D61" s="25"/>
      <c r="E61" s="25"/>
      <c r="F61" s="32"/>
      <c r="G61" s="30">
        <v>117</v>
      </c>
      <c r="H61" s="32"/>
      <c r="I61" s="26">
        <f>EOMONTH('Raw Data'!N59, 0)</f>
        <v>45382</v>
      </c>
      <c r="J61" s="32"/>
    </row>
    <row r="62" spans="2:10" x14ac:dyDescent="0.35">
      <c r="B62" s="32"/>
      <c r="C62" s="25"/>
      <c r="D62" s="25"/>
      <c r="E62" s="25"/>
      <c r="F62" s="32"/>
      <c r="G62" s="30">
        <v>1031</v>
      </c>
      <c r="H62" s="32"/>
      <c r="I62" s="26">
        <f>EOMONTH('Raw Data'!N60, 0)</f>
        <v>44439</v>
      </c>
      <c r="J62" s="32"/>
    </row>
    <row r="63" spans="2:10" x14ac:dyDescent="0.35">
      <c r="B63" s="32"/>
      <c r="C63" s="25"/>
      <c r="D63" s="25"/>
      <c r="E63" s="25"/>
      <c r="F63" s="32"/>
      <c r="G63" s="30">
        <v>369</v>
      </c>
      <c r="H63" s="32"/>
      <c r="I63" s="26">
        <f>EOMONTH('Raw Data'!N61, 0)</f>
        <v>45107</v>
      </c>
      <c r="J63" s="32"/>
    </row>
    <row r="64" spans="2:10" x14ac:dyDescent="0.35">
      <c r="B64" s="32"/>
      <c r="C64" s="25"/>
      <c r="D64" s="25"/>
      <c r="E64" s="25"/>
      <c r="F64" s="32"/>
      <c r="G64" s="30">
        <v>478</v>
      </c>
      <c r="H64" s="32"/>
      <c r="I64" s="26">
        <f>EOMONTH('Raw Data'!N62, 0)</f>
        <v>45016</v>
      </c>
      <c r="J64" s="32"/>
    </row>
    <row r="65" spans="2:10" x14ac:dyDescent="0.35">
      <c r="B65" s="32"/>
      <c r="C65" s="25"/>
      <c r="D65" s="25"/>
      <c r="E65" s="25"/>
      <c r="F65" s="32"/>
      <c r="G65" s="30">
        <v>621</v>
      </c>
      <c r="H65" s="32"/>
      <c r="I65" s="26">
        <f>EOMONTH('Raw Data'!N63, 0)</f>
        <v>44865</v>
      </c>
      <c r="J65" s="32"/>
    </row>
    <row r="66" spans="2:10" x14ac:dyDescent="0.35">
      <c r="B66" s="32"/>
      <c r="C66" s="25"/>
      <c r="D66" s="25"/>
      <c r="E66" s="25"/>
      <c r="F66" s="32"/>
      <c r="G66" s="30">
        <v>199</v>
      </c>
      <c r="H66" s="32"/>
      <c r="I66" s="26">
        <f>EOMONTH('Raw Data'!N64, 0)</f>
        <v>45291</v>
      </c>
      <c r="J66" s="32"/>
    </row>
    <row r="67" spans="2:10" x14ac:dyDescent="0.35">
      <c r="B67" s="32"/>
      <c r="C67" s="25"/>
      <c r="D67" s="25"/>
      <c r="E67" s="25"/>
      <c r="F67" s="32"/>
      <c r="G67" s="30">
        <v>673</v>
      </c>
      <c r="H67" s="32"/>
      <c r="I67" s="26">
        <f>EOMONTH('Raw Data'!N65, 0)</f>
        <v>44804</v>
      </c>
      <c r="J67" s="32"/>
    </row>
    <row r="68" spans="2:10" x14ac:dyDescent="0.35">
      <c r="B68" s="32"/>
      <c r="C68" s="25"/>
      <c r="D68" s="25"/>
      <c r="E68" s="25"/>
      <c r="F68" s="32"/>
      <c r="G68" s="30">
        <v>865</v>
      </c>
      <c r="H68" s="32"/>
      <c r="I68" s="26">
        <f>EOMONTH('Raw Data'!N66, 0)</f>
        <v>44620</v>
      </c>
      <c r="J68" s="32"/>
    </row>
    <row r="69" spans="2:10" x14ac:dyDescent="0.35">
      <c r="B69" s="32"/>
      <c r="C69" s="25"/>
      <c r="D69" s="25"/>
      <c r="E69" s="25"/>
      <c r="F69" s="32"/>
      <c r="G69" s="30">
        <v>495</v>
      </c>
      <c r="H69" s="32"/>
      <c r="I69" s="26">
        <f>EOMONTH('Raw Data'!N67, 0)</f>
        <v>44985</v>
      </c>
      <c r="J69" s="32"/>
    </row>
    <row r="70" spans="2:10" x14ac:dyDescent="0.35">
      <c r="B70" s="32"/>
      <c r="C70" s="25"/>
      <c r="D70" s="25"/>
      <c r="E70" s="25"/>
      <c r="F70" s="32"/>
      <c r="G70" s="30">
        <v>1060</v>
      </c>
      <c r="H70" s="32"/>
      <c r="I70" s="26">
        <f>EOMONTH('Raw Data'!N68, 0)</f>
        <v>44439</v>
      </c>
      <c r="J70" s="32"/>
    </row>
    <row r="71" spans="2:10" x14ac:dyDescent="0.35">
      <c r="B71" s="32"/>
      <c r="C71" s="25"/>
      <c r="D71" s="25"/>
      <c r="E71" s="25"/>
      <c r="F71" s="32"/>
      <c r="G71" s="30">
        <v>92</v>
      </c>
      <c r="H71" s="32"/>
      <c r="I71" s="26">
        <f>EOMONTH('Raw Data'!N69, 0)</f>
        <v>45412</v>
      </c>
      <c r="J71" s="32"/>
    </row>
    <row r="72" spans="2:10" x14ac:dyDescent="0.35">
      <c r="B72" s="32"/>
      <c r="C72" s="25"/>
      <c r="D72" s="25"/>
      <c r="E72" s="25"/>
      <c r="F72" s="32"/>
      <c r="G72" s="30">
        <v>320</v>
      </c>
      <c r="H72" s="32"/>
      <c r="I72" s="26">
        <f>EOMONTH('Raw Data'!N70, 0)</f>
        <v>45169</v>
      </c>
      <c r="J72" s="32"/>
    </row>
    <row r="73" spans="2:10" x14ac:dyDescent="0.35">
      <c r="B73" s="32"/>
      <c r="C73" s="25"/>
      <c r="D73" s="25"/>
      <c r="E73" s="25"/>
      <c r="F73" s="32"/>
      <c r="G73" s="30">
        <v>973</v>
      </c>
      <c r="H73" s="32"/>
      <c r="I73" s="26">
        <f>EOMONTH('Raw Data'!N71, 0)</f>
        <v>44530</v>
      </c>
      <c r="J73" s="32"/>
    </row>
    <row r="74" spans="2:10" x14ac:dyDescent="0.35">
      <c r="B74" s="32"/>
      <c r="C74" s="25"/>
      <c r="D74" s="25"/>
      <c r="E74" s="25"/>
      <c r="F74" s="32"/>
      <c r="G74" s="30">
        <v>575</v>
      </c>
      <c r="H74" s="32"/>
      <c r="I74" s="26">
        <f>EOMONTH('Raw Data'!N72, 0)</f>
        <v>44926</v>
      </c>
      <c r="J74" s="32"/>
    </row>
    <row r="75" spans="2:10" x14ac:dyDescent="0.35">
      <c r="B75" s="32"/>
      <c r="C75" s="25"/>
      <c r="D75" s="25"/>
      <c r="E75" s="25"/>
      <c r="F75" s="32"/>
      <c r="G75" s="30">
        <v>593</v>
      </c>
      <c r="H75" s="32"/>
      <c r="I75" s="26">
        <f>EOMONTH('Raw Data'!N73, 0)</f>
        <v>44895</v>
      </c>
      <c r="J75" s="32"/>
    </row>
    <row r="76" spans="2:10" x14ac:dyDescent="0.35">
      <c r="B76" s="32"/>
      <c r="C76" s="25"/>
      <c r="D76" s="25"/>
      <c r="E76" s="25"/>
      <c r="F76" s="32"/>
      <c r="G76" s="30">
        <v>946</v>
      </c>
      <c r="H76" s="32"/>
      <c r="I76" s="26">
        <f>EOMONTH('Raw Data'!N74, 0)</f>
        <v>44561</v>
      </c>
      <c r="J76" s="32"/>
    </row>
    <row r="77" spans="2:10" x14ac:dyDescent="0.35">
      <c r="B77" s="32"/>
      <c r="C77" s="25"/>
      <c r="D77" s="25"/>
      <c r="E77" s="25"/>
      <c r="F77" s="32"/>
      <c r="G77" s="30">
        <v>360</v>
      </c>
      <c r="H77" s="32"/>
      <c r="I77" s="26">
        <f>EOMONTH('Raw Data'!N75, 0)</f>
        <v>45138</v>
      </c>
      <c r="J77" s="32"/>
    </row>
    <row r="78" spans="2:10" x14ac:dyDescent="0.35">
      <c r="B78" s="32"/>
      <c r="C78" s="25"/>
      <c r="D78" s="25"/>
      <c r="E78" s="25"/>
      <c r="F78" s="32"/>
      <c r="G78" s="30">
        <v>291</v>
      </c>
      <c r="H78" s="32"/>
      <c r="I78" s="26">
        <f>EOMONTH('Raw Data'!N76, 0)</f>
        <v>45199</v>
      </c>
      <c r="J78" s="32"/>
    </row>
    <row r="79" spans="2:10" x14ac:dyDescent="0.35">
      <c r="B79" s="32"/>
      <c r="C79" s="25"/>
      <c r="D79" s="25"/>
      <c r="E79" s="25"/>
      <c r="F79" s="32"/>
      <c r="G79" s="30">
        <v>237</v>
      </c>
      <c r="H79" s="32"/>
      <c r="I79" s="26">
        <f>EOMONTH('Raw Data'!N77, 0)</f>
        <v>45260</v>
      </c>
      <c r="J79" s="32"/>
    </row>
    <row r="80" spans="2:10" x14ac:dyDescent="0.35">
      <c r="B80" s="32"/>
      <c r="C80" s="25"/>
      <c r="D80" s="25"/>
      <c r="E80" s="25"/>
      <c r="F80" s="32"/>
      <c r="G80" s="30">
        <v>317</v>
      </c>
      <c r="H80" s="32"/>
      <c r="I80" s="26">
        <f>EOMONTH('Raw Data'!N78, 0)</f>
        <v>45199</v>
      </c>
      <c r="J80" s="32"/>
    </row>
    <row r="81" spans="2:10" x14ac:dyDescent="0.35">
      <c r="B81" s="32"/>
      <c r="C81" s="25"/>
      <c r="D81" s="25"/>
      <c r="E81" s="25"/>
      <c r="F81" s="32"/>
      <c r="G81" s="30">
        <v>598</v>
      </c>
      <c r="H81" s="32"/>
      <c r="I81" s="26">
        <f>EOMONTH('Raw Data'!N79, 0)</f>
        <v>44926</v>
      </c>
      <c r="J81" s="32"/>
    </row>
    <row r="82" spans="2:10" x14ac:dyDescent="0.35">
      <c r="B82" s="32"/>
      <c r="C82" s="25"/>
      <c r="D82" s="25"/>
      <c r="E82" s="25"/>
      <c r="F82" s="32"/>
      <c r="G82" s="30">
        <v>346</v>
      </c>
      <c r="H82" s="32"/>
      <c r="I82" s="26">
        <f>EOMONTH('Raw Data'!N80, 0)</f>
        <v>45169</v>
      </c>
      <c r="J82" s="32"/>
    </row>
    <row r="83" spans="2:10" x14ac:dyDescent="0.35">
      <c r="B83" s="32"/>
      <c r="C83" s="25"/>
      <c r="D83" s="25"/>
      <c r="E83" s="25"/>
      <c r="F83" s="32"/>
      <c r="G83" s="30">
        <v>371</v>
      </c>
      <c r="H83" s="32"/>
      <c r="I83" s="26">
        <f>EOMONTH('Raw Data'!N81, 0)</f>
        <v>45138</v>
      </c>
      <c r="J83" s="32"/>
    </row>
    <row r="84" spans="2:10" x14ac:dyDescent="0.35">
      <c r="B84" s="32"/>
      <c r="C84" s="25"/>
      <c r="D84" s="25"/>
      <c r="E84" s="25"/>
      <c r="F84" s="32"/>
      <c r="G84" s="30">
        <v>336</v>
      </c>
      <c r="H84" s="32"/>
      <c r="I84" s="26">
        <f>EOMONTH('Raw Data'!N82, 0)</f>
        <v>45169</v>
      </c>
      <c r="J84" s="32"/>
    </row>
    <row r="85" spans="2:10" x14ac:dyDescent="0.35">
      <c r="B85" s="32"/>
      <c r="C85" s="25"/>
      <c r="D85" s="25"/>
      <c r="E85" s="25"/>
      <c r="F85" s="32"/>
      <c r="G85" s="30">
        <v>518</v>
      </c>
      <c r="H85" s="32"/>
      <c r="I85" s="26">
        <f>EOMONTH('Raw Data'!N83, 0)</f>
        <v>44985</v>
      </c>
      <c r="J85" s="32"/>
    </row>
    <row r="86" spans="2:10" x14ac:dyDescent="0.35">
      <c r="B86" s="32"/>
      <c r="C86" s="25"/>
      <c r="D86" s="25"/>
      <c r="E86" s="25"/>
      <c r="F86" s="32"/>
      <c r="G86" s="30">
        <v>525</v>
      </c>
      <c r="H86" s="32"/>
      <c r="I86" s="26">
        <f>EOMONTH('Raw Data'!N84, 0)</f>
        <v>44985</v>
      </c>
      <c r="J86" s="32"/>
    </row>
    <row r="87" spans="2:10" x14ac:dyDescent="0.35">
      <c r="B87" s="32"/>
      <c r="C87" s="25"/>
      <c r="D87" s="25"/>
      <c r="E87" s="25"/>
      <c r="F87" s="32"/>
      <c r="G87" s="30">
        <v>769</v>
      </c>
      <c r="H87" s="32"/>
      <c r="I87" s="26">
        <f>EOMONTH('Raw Data'!N85, 0)</f>
        <v>44742</v>
      </c>
      <c r="J87" s="32"/>
    </row>
    <row r="88" spans="2:10" x14ac:dyDescent="0.35">
      <c r="B88" s="32"/>
      <c r="C88" s="25"/>
      <c r="D88" s="25"/>
      <c r="E88" s="25"/>
      <c r="F88" s="32"/>
      <c r="G88" s="30">
        <v>504</v>
      </c>
      <c r="H88" s="32"/>
      <c r="I88" s="26">
        <f>EOMONTH('Raw Data'!N86, 0)</f>
        <v>45016</v>
      </c>
      <c r="J88" s="32"/>
    </row>
    <row r="89" spans="2:10" x14ac:dyDescent="0.35">
      <c r="B89" s="32"/>
      <c r="C89" s="25"/>
      <c r="D89" s="25"/>
      <c r="E89" s="25"/>
      <c r="F89" s="32"/>
      <c r="G89" s="30">
        <v>981</v>
      </c>
      <c r="H89" s="32"/>
      <c r="I89" s="26">
        <f>EOMONTH('Raw Data'!N87, 0)</f>
        <v>44530</v>
      </c>
      <c r="J89" s="32"/>
    </row>
    <row r="90" spans="2:10" x14ac:dyDescent="0.35">
      <c r="B90" s="32"/>
      <c r="C90" s="25"/>
      <c r="D90" s="25"/>
      <c r="E90" s="25"/>
      <c r="F90" s="32"/>
      <c r="G90" s="30">
        <v>967</v>
      </c>
      <c r="H90" s="32"/>
      <c r="I90" s="26">
        <f>EOMONTH('Raw Data'!N88, 0)</f>
        <v>44561</v>
      </c>
      <c r="J90" s="32"/>
    </row>
    <row r="91" spans="2:10" x14ac:dyDescent="0.35">
      <c r="B91" s="32"/>
      <c r="C91" s="25"/>
      <c r="D91" s="25"/>
      <c r="E91" s="25"/>
      <c r="F91" s="32"/>
      <c r="G91" s="30">
        <v>843</v>
      </c>
      <c r="H91" s="32"/>
      <c r="I91" s="26">
        <f>EOMONTH('Raw Data'!N89, 0)</f>
        <v>44681</v>
      </c>
      <c r="J91" s="32"/>
    </row>
    <row r="92" spans="2:10" x14ac:dyDescent="0.35">
      <c r="B92" s="32"/>
      <c r="C92" s="25"/>
      <c r="D92" s="25"/>
      <c r="E92" s="25"/>
      <c r="F92" s="32"/>
      <c r="G92" s="30">
        <v>120</v>
      </c>
      <c r="H92" s="32"/>
      <c r="I92" s="26">
        <f>EOMONTH('Raw Data'!N90, 0)</f>
        <v>45412</v>
      </c>
      <c r="J92" s="32"/>
    </row>
    <row r="93" spans="2:10" x14ac:dyDescent="0.35">
      <c r="B93" s="32"/>
      <c r="C93" s="25"/>
      <c r="D93" s="25"/>
      <c r="E93" s="25"/>
      <c r="F93" s="32"/>
      <c r="G93" s="30">
        <v>550</v>
      </c>
      <c r="H93" s="32"/>
      <c r="I93" s="26">
        <f>EOMONTH('Raw Data'!N91, 0)</f>
        <v>44985</v>
      </c>
      <c r="J93" s="32"/>
    </row>
    <row r="94" spans="2:10" x14ac:dyDescent="0.35">
      <c r="B94" s="32"/>
      <c r="C94" s="25"/>
      <c r="D94" s="25"/>
      <c r="E94" s="25"/>
      <c r="F94" s="32"/>
      <c r="G94" s="30">
        <v>697</v>
      </c>
      <c r="H94" s="32"/>
      <c r="I94" s="26">
        <f>EOMONTH('Raw Data'!N92, 0)</f>
        <v>44834</v>
      </c>
      <c r="J94" s="32"/>
    </row>
    <row r="95" spans="2:10" x14ac:dyDescent="0.35">
      <c r="B95" s="32"/>
      <c r="C95" s="25"/>
      <c r="D95" s="25"/>
      <c r="E95" s="25"/>
      <c r="F95" s="32"/>
      <c r="G95" s="30">
        <v>735</v>
      </c>
      <c r="H95" s="32"/>
      <c r="I95" s="26">
        <f>EOMONTH('Raw Data'!N93, 0)</f>
        <v>44804</v>
      </c>
      <c r="J95" s="32"/>
    </row>
    <row r="96" spans="2:10" x14ac:dyDescent="0.35">
      <c r="B96" s="32"/>
      <c r="C96" s="25"/>
      <c r="D96" s="25"/>
      <c r="E96" s="25"/>
      <c r="F96" s="32"/>
      <c r="G96" s="30">
        <v>1052</v>
      </c>
      <c r="H96" s="32"/>
      <c r="I96" s="26">
        <f>EOMONTH('Raw Data'!N94, 0)</f>
        <v>44469</v>
      </c>
      <c r="J96" s="32"/>
    </row>
    <row r="97" spans="2:10" x14ac:dyDescent="0.35">
      <c r="B97" s="32"/>
      <c r="C97" s="25"/>
      <c r="D97" s="25"/>
      <c r="E97" s="25"/>
      <c r="F97" s="32"/>
      <c r="G97" s="30">
        <v>1059</v>
      </c>
      <c r="H97" s="32"/>
      <c r="I97" s="26">
        <f>EOMONTH('Raw Data'!N95, 0)</f>
        <v>44469</v>
      </c>
      <c r="J97" s="32"/>
    </row>
    <row r="98" spans="2:10" x14ac:dyDescent="0.35">
      <c r="B98" s="32"/>
      <c r="C98" s="25"/>
      <c r="D98" s="25"/>
      <c r="E98" s="25"/>
      <c r="F98" s="32"/>
      <c r="G98" s="30">
        <v>528</v>
      </c>
      <c r="H98" s="32"/>
      <c r="I98" s="26">
        <f>EOMONTH('Raw Data'!N96, 0)</f>
        <v>45016</v>
      </c>
      <c r="J98" s="32"/>
    </row>
    <row r="99" spans="2:10" x14ac:dyDescent="0.35">
      <c r="B99" s="32"/>
      <c r="C99" s="25"/>
      <c r="D99" s="25"/>
      <c r="E99" s="25"/>
      <c r="F99" s="32"/>
      <c r="G99" s="30">
        <v>550</v>
      </c>
      <c r="H99" s="32"/>
      <c r="I99" s="26">
        <f>EOMONTH('Raw Data'!N97, 0)</f>
        <v>44985</v>
      </c>
      <c r="J99" s="32"/>
    </row>
    <row r="100" spans="2:10" x14ac:dyDescent="0.35">
      <c r="B100" s="32"/>
      <c r="C100" s="25"/>
      <c r="D100" s="25"/>
      <c r="E100" s="25"/>
      <c r="F100" s="32"/>
      <c r="G100" s="30">
        <v>997</v>
      </c>
      <c r="H100" s="32"/>
      <c r="I100" s="26">
        <f>EOMONTH('Raw Data'!N98, 0)</f>
        <v>44530</v>
      </c>
      <c r="J100" s="32"/>
    </row>
    <row r="101" spans="2:10" x14ac:dyDescent="0.35">
      <c r="B101" s="32"/>
      <c r="C101" s="25"/>
      <c r="D101" s="25"/>
      <c r="E101" s="25"/>
      <c r="F101" s="32"/>
      <c r="G101" s="30">
        <v>949</v>
      </c>
      <c r="H101" s="32"/>
      <c r="I101" s="26">
        <f>EOMONTH('Raw Data'!N99, 0)</f>
        <v>44592</v>
      </c>
      <c r="J101" s="32"/>
    </row>
    <row r="102" spans="2:10" x14ac:dyDescent="0.35">
      <c r="B102" s="32"/>
      <c r="C102" s="25"/>
      <c r="D102" s="25"/>
      <c r="E102" s="25"/>
      <c r="F102" s="32"/>
      <c r="G102" s="30">
        <v>216</v>
      </c>
      <c r="H102" s="32"/>
      <c r="I102" s="26">
        <f>EOMONTH('Raw Data'!N100, 0)</f>
        <v>45322</v>
      </c>
      <c r="J102" s="32"/>
    </row>
    <row r="103" spans="2:10" x14ac:dyDescent="0.35">
      <c r="B103" s="32"/>
      <c r="C103" s="25"/>
      <c r="D103" s="25"/>
      <c r="E103" s="25"/>
      <c r="F103" s="32"/>
      <c r="G103" s="30">
        <v>749</v>
      </c>
      <c r="H103" s="32"/>
      <c r="I103" s="26">
        <f>EOMONTH('Raw Data'!N101, 0)</f>
        <v>44804</v>
      </c>
      <c r="J103" s="32"/>
    </row>
    <row r="104" spans="2:10" x14ac:dyDescent="0.35">
      <c r="B104" s="32"/>
      <c r="C104" s="25"/>
      <c r="D104" s="25"/>
      <c r="E104" s="25"/>
      <c r="F104" s="32"/>
      <c r="G104" s="30">
        <v>956</v>
      </c>
      <c r="H104" s="32"/>
      <c r="I104" s="26">
        <f>EOMONTH('Raw Data'!N102, 0)</f>
        <v>44592</v>
      </c>
      <c r="J104" s="32"/>
    </row>
    <row r="105" spans="2:10" x14ac:dyDescent="0.35">
      <c r="B105" s="32"/>
      <c r="C105" s="25"/>
      <c r="D105" s="25"/>
      <c r="E105" s="25"/>
      <c r="F105" s="32"/>
      <c r="G105" s="30">
        <v>1035</v>
      </c>
      <c r="H105" s="32"/>
      <c r="I105" s="26">
        <f>EOMONTH('Raw Data'!N103, 0)</f>
        <v>44500</v>
      </c>
      <c r="J105" s="32"/>
    </row>
    <row r="106" spans="2:10" x14ac:dyDescent="0.35">
      <c r="B106" s="32"/>
      <c r="C106" s="25"/>
      <c r="D106" s="25"/>
      <c r="E106" s="25"/>
      <c r="F106" s="32"/>
      <c r="G106" s="30">
        <v>320</v>
      </c>
      <c r="H106" s="32"/>
      <c r="I106" s="26">
        <f>EOMONTH('Raw Data'!N104, 0)</f>
        <v>45230</v>
      </c>
      <c r="J106" s="32"/>
    </row>
    <row r="107" spans="2:10" x14ac:dyDescent="0.35">
      <c r="B107" s="32"/>
      <c r="C107" s="25"/>
      <c r="D107" s="25"/>
      <c r="E107" s="25"/>
      <c r="F107" s="32"/>
      <c r="G107" s="30">
        <v>1113</v>
      </c>
      <c r="H107" s="32"/>
      <c r="I107" s="26">
        <f>EOMONTH('Raw Data'!N105, 0)</f>
        <v>44439</v>
      </c>
      <c r="J107" s="32"/>
    </row>
    <row r="108" spans="2:10" x14ac:dyDescent="0.35">
      <c r="B108" s="32"/>
      <c r="C108" s="25"/>
      <c r="D108" s="25"/>
      <c r="E108" s="25"/>
      <c r="F108" s="32"/>
      <c r="G108" s="30">
        <v>852</v>
      </c>
      <c r="H108" s="32"/>
      <c r="I108" s="26">
        <f>EOMONTH('Raw Data'!N106, 0)</f>
        <v>44712</v>
      </c>
      <c r="J108" s="32"/>
    </row>
    <row r="109" spans="2:10" x14ac:dyDescent="0.35">
      <c r="B109" s="32"/>
      <c r="C109" s="25"/>
      <c r="D109" s="25"/>
      <c r="E109" s="25"/>
      <c r="F109" s="32"/>
      <c r="G109" s="30">
        <v>205</v>
      </c>
      <c r="H109" s="32"/>
      <c r="I109" s="26">
        <f>EOMONTH('Raw Data'!N107, 0)</f>
        <v>45351</v>
      </c>
      <c r="J109" s="32"/>
    </row>
    <row r="110" spans="2:10" x14ac:dyDescent="0.35">
      <c r="B110" s="32"/>
      <c r="C110" s="25"/>
      <c r="D110" s="25"/>
      <c r="E110" s="25"/>
      <c r="F110" s="32"/>
      <c r="G110" s="30">
        <v>668</v>
      </c>
      <c r="H110" s="32"/>
      <c r="I110" s="26">
        <f>EOMONTH('Raw Data'!N108, 0)</f>
        <v>44895</v>
      </c>
      <c r="J110" s="32"/>
    </row>
    <row r="111" spans="2:10" x14ac:dyDescent="0.35">
      <c r="B111" s="32"/>
      <c r="C111" s="25"/>
      <c r="D111" s="25"/>
      <c r="E111" s="25"/>
      <c r="F111" s="32"/>
      <c r="G111" s="30">
        <v>824</v>
      </c>
      <c r="H111" s="32"/>
      <c r="I111" s="26">
        <f>EOMONTH('Raw Data'!N109, 0)</f>
        <v>44742</v>
      </c>
      <c r="J111" s="32"/>
    </row>
    <row r="112" spans="2:10" x14ac:dyDescent="0.35">
      <c r="B112" s="32"/>
      <c r="C112" s="25"/>
      <c r="D112" s="25"/>
      <c r="E112" s="25"/>
      <c r="F112" s="32"/>
      <c r="G112" s="30">
        <v>796</v>
      </c>
      <c r="H112" s="32"/>
      <c r="I112" s="26">
        <f>EOMONTH('Raw Data'!N110, 0)</f>
        <v>44773</v>
      </c>
      <c r="J112" s="32"/>
    </row>
    <row r="113" spans="2:10" x14ac:dyDescent="0.35">
      <c r="B113" s="32"/>
      <c r="C113" s="25"/>
      <c r="D113" s="25"/>
      <c r="E113" s="25"/>
      <c r="F113" s="32"/>
      <c r="G113" s="30">
        <v>1014</v>
      </c>
      <c r="H113" s="32"/>
      <c r="I113" s="26">
        <f>EOMONTH('Raw Data'!N111, 0)</f>
        <v>44530</v>
      </c>
      <c r="J113" s="32"/>
    </row>
    <row r="114" spans="2:10" x14ac:dyDescent="0.35">
      <c r="B114" s="32"/>
      <c r="C114" s="25"/>
      <c r="D114" s="25"/>
      <c r="E114" s="25"/>
      <c r="F114" s="32"/>
      <c r="G114" s="30">
        <v>852</v>
      </c>
      <c r="H114" s="32"/>
      <c r="I114" s="26">
        <f>EOMONTH('Raw Data'!N112, 0)</f>
        <v>44712</v>
      </c>
      <c r="J114" s="32"/>
    </row>
    <row r="115" spans="2:10" x14ac:dyDescent="0.35">
      <c r="B115" s="32"/>
      <c r="C115" s="25"/>
      <c r="D115" s="25"/>
      <c r="E115" s="25"/>
      <c r="F115" s="32"/>
      <c r="G115" s="30">
        <v>1053</v>
      </c>
      <c r="H115" s="32"/>
      <c r="I115" s="26">
        <f>EOMONTH('Raw Data'!N113, 0)</f>
        <v>44500</v>
      </c>
      <c r="J115" s="32"/>
    </row>
    <row r="116" spans="2:10" x14ac:dyDescent="0.35">
      <c r="B116" s="32"/>
      <c r="C116" s="25"/>
      <c r="D116" s="25"/>
      <c r="E116" s="25"/>
      <c r="F116" s="32"/>
      <c r="G116" s="30">
        <v>907</v>
      </c>
      <c r="H116" s="32"/>
      <c r="I116" s="26">
        <f>EOMONTH('Raw Data'!N114, 0)</f>
        <v>44651</v>
      </c>
      <c r="J116" s="32"/>
    </row>
    <row r="117" spans="2:10" x14ac:dyDescent="0.35">
      <c r="B117" s="32"/>
      <c r="C117" s="25"/>
      <c r="D117" s="25"/>
      <c r="E117" s="25"/>
      <c r="F117" s="32"/>
      <c r="G117" s="30">
        <v>641</v>
      </c>
      <c r="H117" s="32"/>
      <c r="I117" s="26">
        <f>EOMONTH('Raw Data'!N115, 0)</f>
        <v>44926</v>
      </c>
      <c r="J117" s="32"/>
    </row>
    <row r="118" spans="2:10" x14ac:dyDescent="0.35">
      <c r="B118" s="32"/>
      <c r="C118" s="25"/>
      <c r="D118" s="25"/>
      <c r="E118" s="25"/>
      <c r="F118" s="32"/>
      <c r="G118" s="30">
        <v>558</v>
      </c>
      <c r="H118" s="32"/>
      <c r="I118" s="26">
        <f>EOMONTH('Raw Data'!N116, 0)</f>
        <v>45016</v>
      </c>
      <c r="J118" s="32"/>
    </row>
    <row r="119" spans="2:10" x14ac:dyDescent="0.35">
      <c r="B119" s="32"/>
      <c r="C119" s="25"/>
      <c r="D119" s="25"/>
      <c r="E119" s="25"/>
      <c r="F119" s="32"/>
      <c r="G119" s="30">
        <v>1093</v>
      </c>
      <c r="H119" s="32"/>
      <c r="I119" s="26">
        <f>EOMONTH('Raw Data'!N117, 0)</f>
        <v>44469</v>
      </c>
      <c r="J119" s="32"/>
    </row>
    <row r="120" spans="2:10" x14ac:dyDescent="0.35">
      <c r="B120" s="32"/>
      <c r="C120" s="25"/>
      <c r="D120" s="25"/>
      <c r="E120" s="25"/>
      <c r="F120" s="32"/>
      <c r="G120" s="30">
        <v>1108</v>
      </c>
      <c r="H120" s="32"/>
      <c r="I120" s="26">
        <f>EOMONTH('Raw Data'!N118, 0)</f>
        <v>44469</v>
      </c>
      <c r="J120" s="32"/>
    </row>
    <row r="121" spans="2:10" x14ac:dyDescent="0.35">
      <c r="B121" s="32"/>
      <c r="C121" s="25"/>
      <c r="D121" s="25"/>
      <c r="E121" s="25"/>
      <c r="F121" s="32"/>
      <c r="G121" s="30">
        <v>1072</v>
      </c>
      <c r="H121" s="32"/>
      <c r="I121" s="26">
        <f>EOMONTH('Raw Data'!N119, 0)</f>
        <v>44500</v>
      </c>
      <c r="J121" s="32"/>
    </row>
    <row r="122" spans="2:10" x14ac:dyDescent="0.35">
      <c r="B122" s="32"/>
      <c r="C122" s="25"/>
      <c r="D122" s="25"/>
      <c r="E122" s="25"/>
      <c r="F122" s="32"/>
      <c r="G122" s="30">
        <v>936</v>
      </c>
      <c r="H122" s="32"/>
      <c r="I122" s="26">
        <f>EOMONTH('Raw Data'!N120, 0)</f>
        <v>44620</v>
      </c>
      <c r="J122" s="32"/>
    </row>
    <row r="123" spans="2:10" x14ac:dyDescent="0.35">
      <c r="B123" s="32"/>
      <c r="C123" s="25"/>
      <c r="D123" s="25"/>
      <c r="E123" s="25"/>
      <c r="F123" s="32"/>
      <c r="G123" s="30">
        <v>402</v>
      </c>
      <c r="H123" s="32"/>
      <c r="I123" s="26">
        <f>EOMONTH('Raw Data'!N121, 0)</f>
        <v>45169</v>
      </c>
      <c r="J123" s="32"/>
    </row>
    <row r="124" spans="2:10" x14ac:dyDescent="0.35">
      <c r="B124" s="32"/>
      <c r="C124" s="25"/>
      <c r="D124" s="25"/>
      <c r="E124" s="25"/>
      <c r="F124" s="32"/>
      <c r="G124" s="30">
        <v>674</v>
      </c>
      <c r="H124" s="32"/>
      <c r="I124" s="26">
        <f>EOMONTH('Raw Data'!N122, 0)</f>
        <v>44895</v>
      </c>
      <c r="J124" s="32"/>
    </row>
    <row r="125" spans="2:10" x14ac:dyDescent="0.35">
      <c r="B125" s="32"/>
      <c r="C125" s="25"/>
      <c r="D125" s="25"/>
      <c r="E125" s="25"/>
      <c r="F125" s="32"/>
      <c r="G125" s="30">
        <v>994</v>
      </c>
      <c r="H125" s="32"/>
      <c r="I125" s="26">
        <f>EOMONTH('Raw Data'!N123, 0)</f>
        <v>44592</v>
      </c>
      <c r="J125" s="32"/>
    </row>
    <row r="126" spans="2:10" x14ac:dyDescent="0.35">
      <c r="B126" s="32"/>
      <c r="C126" s="25"/>
      <c r="D126" s="25"/>
      <c r="E126" s="25"/>
      <c r="F126" s="32"/>
      <c r="G126" s="30">
        <v>611</v>
      </c>
      <c r="H126" s="32"/>
      <c r="I126" s="26">
        <f>EOMONTH('Raw Data'!N124, 0)</f>
        <v>44957</v>
      </c>
      <c r="J126" s="32"/>
    </row>
    <row r="127" spans="2:10" x14ac:dyDescent="0.35">
      <c r="B127" s="32"/>
      <c r="C127" s="25"/>
      <c r="D127" s="25"/>
      <c r="E127" s="25"/>
      <c r="F127" s="32"/>
      <c r="G127" s="30">
        <v>1106</v>
      </c>
      <c r="H127" s="32"/>
      <c r="I127" s="26">
        <f>EOMONTH('Raw Data'!N125, 0)</f>
        <v>44469</v>
      </c>
      <c r="J127" s="32"/>
    </row>
    <row r="128" spans="2:10" x14ac:dyDescent="0.35">
      <c r="B128" s="32"/>
      <c r="C128" s="25"/>
      <c r="D128" s="25"/>
      <c r="E128" s="25"/>
      <c r="F128" s="32"/>
      <c r="G128" s="30">
        <v>993</v>
      </c>
      <c r="H128" s="32"/>
      <c r="I128" s="26">
        <f>EOMONTH('Raw Data'!N126, 0)</f>
        <v>44592</v>
      </c>
      <c r="J128" s="32"/>
    </row>
    <row r="129" spans="2:10" x14ac:dyDescent="0.35">
      <c r="B129" s="32"/>
      <c r="C129" s="25"/>
      <c r="D129" s="25"/>
      <c r="E129" s="25"/>
      <c r="F129" s="32"/>
      <c r="G129" s="30">
        <v>496</v>
      </c>
      <c r="H129" s="32"/>
      <c r="I129" s="26">
        <f>EOMONTH('Raw Data'!N127, 0)</f>
        <v>45077</v>
      </c>
      <c r="J129" s="32"/>
    </row>
    <row r="130" spans="2:10" x14ac:dyDescent="0.35">
      <c r="B130" s="32"/>
      <c r="C130" s="25"/>
      <c r="D130" s="25"/>
      <c r="E130" s="25"/>
      <c r="F130" s="32"/>
      <c r="G130" s="30">
        <v>299</v>
      </c>
      <c r="H130" s="32"/>
      <c r="I130" s="26">
        <f>EOMONTH('Raw Data'!N128, 0)</f>
        <v>45291</v>
      </c>
      <c r="J130" s="32"/>
    </row>
    <row r="131" spans="2:10" x14ac:dyDescent="0.35">
      <c r="B131" s="32"/>
      <c r="C131" s="25"/>
      <c r="D131" s="25"/>
      <c r="E131" s="25"/>
      <c r="F131" s="32"/>
      <c r="G131" s="30">
        <v>633</v>
      </c>
      <c r="H131" s="32"/>
      <c r="I131" s="26">
        <f>EOMONTH('Raw Data'!N129, 0)</f>
        <v>44957</v>
      </c>
      <c r="J131" s="32"/>
    </row>
    <row r="132" spans="2:10" x14ac:dyDescent="0.35">
      <c r="B132" s="32"/>
      <c r="C132" s="25"/>
      <c r="D132" s="25"/>
      <c r="E132" s="25"/>
      <c r="F132" s="32"/>
      <c r="G132" s="30">
        <v>402</v>
      </c>
      <c r="H132" s="32"/>
      <c r="I132" s="26">
        <f>EOMONTH('Raw Data'!N130, 0)</f>
        <v>45199</v>
      </c>
      <c r="J132" s="32"/>
    </row>
    <row r="133" spans="2:10" x14ac:dyDescent="0.35">
      <c r="B133" s="32"/>
      <c r="C133" s="25"/>
      <c r="D133" s="25"/>
      <c r="E133" s="25"/>
      <c r="F133" s="32"/>
      <c r="G133" s="30">
        <v>364</v>
      </c>
      <c r="H133" s="32"/>
      <c r="I133" s="26">
        <f>EOMONTH('Raw Data'!N131, 0)</f>
        <v>45230</v>
      </c>
      <c r="J133" s="32"/>
    </row>
    <row r="134" spans="2:10" x14ac:dyDescent="0.35">
      <c r="B134" s="32"/>
      <c r="C134" s="25"/>
      <c r="D134" s="25"/>
      <c r="E134" s="25"/>
      <c r="F134" s="32"/>
      <c r="G134" s="30">
        <v>573</v>
      </c>
      <c r="H134" s="32"/>
      <c r="I134" s="26">
        <f>EOMONTH('Raw Data'!N132, 0)</f>
        <v>45016</v>
      </c>
      <c r="J134" s="32"/>
    </row>
    <row r="135" spans="2:10" x14ac:dyDescent="0.35">
      <c r="B135" s="32"/>
      <c r="C135" s="25"/>
      <c r="D135" s="25"/>
      <c r="E135" s="25"/>
      <c r="F135" s="32"/>
      <c r="G135" s="30">
        <v>196</v>
      </c>
      <c r="H135" s="32"/>
      <c r="I135" s="26">
        <f>EOMONTH('Raw Data'!N133, 0)</f>
        <v>45412</v>
      </c>
      <c r="J135" s="32"/>
    </row>
    <row r="136" spans="2:10" x14ac:dyDescent="0.35">
      <c r="B136" s="32"/>
      <c r="C136" s="25"/>
      <c r="D136" s="25"/>
      <c r="E136" s="25"/>
      <c r="F136" s="32"/>
      <c r="G136" s="30">
        <v>212</v>
      </c>
      <c r="H136" s="32"/>
      <c r="I136" s="26">
        <f>EOMONTH('Raw Data'!N134, 0)</f>
        <v>45382</v>
      </c>
      <c r="J136" s="32"/>
    </row>
    <row r="137" spans="2:10" x14ac:dyDescent="0.35">
      <c r="B137" s="32"/>
      <c r="C137" s="25"/>
      <c r="D137" s="25"/>
      <c r="E137" s="25"/>
      <c r="F137" s="32"/>
      <c r="G137" s="30">
        <v>667</v>
      </c>
      <c r="H137" s="32"/>
      <c r="I137" s="26">
        <f>EOMONTH('Raw Data'!N135, 0)</f>
        <v>44926</v>
      </c>
      <c r="J137" s="32"/>
    </row>
    <row r="138" spans="2:10" x14ac:dyDescent="0.35">
      <c r="B138" s="32"/>
      <c r="C138" s="25"/>
      <c r="D138" s="25"/>
      <c r="E138" s="25"/>
      <c r="F138" s="32"/>
      <c r="G138" s="30">
        <v>1035</v>
      </c>
      <c r="H138" s="32"/>
      <c r="I138" s="26">
        <f>EOMONTH('Raw Data'!N136, 0)</f>
        <v>44561</v>
      </c>
      <c r="J138" s="32"/>
    </row>
    <row r="139" spans="2:10" x14ac:dyDescent="0.35">
      <c r="B139" s="32"/>
      <c r="C139" s="25"/>
      <c r="D139" s="25"/>
      <c r="E139" s="25"/>
      <c r="F139" s="32"/>
      <c r="G139" s="30">
        <v>1115</v>
      </c>
      <c r="H139" s="32"/>
      <c r="I139" s="26">
        <f>EOMONTH('Raw Data'!N137, 0)</f>
        <v>44500</v>
      </c>
      <c r="J139" s="32"/>
    </row>
    <row r="140" spans="2:10" x14ac:dyDescent="0.35">
      <c r="B140" s="32"/>
      <c r="C140" s="25"/>
      <c r="D140" s="25"/>
      <c r="E140" s="25"/>
      <c r="F140" s="32"/>
      <c r="G140" s="30">
        <v>596</v>
      </c>
      <c r="H140" s="32"/>
      <c r="I140" s="26">
        <f>EOMONTH('Raw Data'!N138, 0)</f>
        <v>45016</v>
      </c>
      <c r="J140" s="32"/>
    </row>
    <row r="141" spans="2:10" x14ac:dyDescent="0.35">
      <c r="B141" s="32"/>
      <c r="C141" s="25"/>
      <c r="D141" s="25"/>
      <c r="E141" s="25"/>
      <c r="F141" s="32"/>
      <c r="G141" s="30">
        <v>954</v>
      </c>
      <c r="H141" s="32"/>
      <c r="I141" s="26">
        <f>EOMONTH('Raw Data'!N139, 0)</f>
        <v>44651</v>
      </c>
      <c r="J141" s="32"/>
    </row>
    <row r="142" spans="2:10" x14ac:dyDescent="0.35">
      <c r="B142" s="32"/>
      <c r="C142" s="25"/>
      <c r="D142" s="25"/>
      <c r="E142" s="25"/>
      <c r="F142" s="32"/>
      <c r="G142" s="30">
        <v>977</v>
      </c>
      <c r="H142" s="32"/>
      <c r="I142" s="26">
        <f>EOMONTH('Raw Data'!N140, 0)</f>
        <v>44620</v>
      </c>
      <c r="J142" s="32"/>
    </row>
    <row r="143" spans="2:10" x14ac:dyDescent="0.35">
      <c r="B143" s="32"/>
      <c r="C143" s="25"/>
      <c r="D143" s="25"/>
      <c r="E143" s="25"/>
      <c r="F143" s="32"/>
      <c r="G143" s="30">
        <v>716</v>
      </c>
      <c r="H143" s="32"/>
      <c r="I143" s="26">
        <f>EOMONTH('Raw Data'!N141, 0)</f>
        <v>44895</v>
      </c>
      <c r="J143" s="32"/>
    </row>
    <row r="144" spans="2:10" x14ac:dyDescent="0.35">
      <c r="B144" s="32"/>
      <c r="C144" s="25"/>
      <c r="D144" s="25"/>
      <c r="E144" s="25"/>
      <c r="F144" s="32"/>
      <c r="G144" s="30">
        <v>1098</v>
      </c>
      <c r="H144" s="32"/>
      <c r="I144" s="26">
        <f>EOMONTH('Raw Data'!N142, 0)</f>
        <v>44530</v>
      </c>
      <c r="J144" s="32"/>
    </row>
    <row r="145" spans="2:10" x14ac:dyDescent="0.35">
      <c r="B145" s="32"/>
      <c r="C145" s="25"/>
      <c r="D145" s="25"/>
      <c r="E145" s="25"/>
      <c r="F145" s="32"/>
      <c r="G145" s="30">
        <v>1183</v>
      </c>
      <c r="H145" s="32"/>
      <c r="I145" s="26">
        <f>EOMONTH('Raw Data'!N143, 0)</f>
        <v>44439</v>
      </c>
      <c r="J145" s="32"/>
    </row>
    <row r="146" spans="2:10" x14ac:dyDescent="0.35">
      <c r="B146" s="32"/>
      <c r="C146" s="25"/>
      <c r="D146" s="25"/>
      <c r="E146" s="25"/>
      <c r="F146" s="32"/>
      <c r="G146" s="30">
        <v>756</v>
      </c>
      <c r="H146" s="32"/>
      <c r="I146" s="26">
        <f>EOMONTH('Raw Data'!N144, 0)</f>
        <v>44865</v>
      </c>
      <c r="J146" s="32"/>
    </row>
    <row r="147" spans="2:10" x14ac:dyDescent="0.35">
      <c r="B147" s="32"/>
      <c r="C147" s="25"/>
      <c r="D147" s="25"/>
      <c r="E147" s="25"/>
      <c r="F147" s="32"/>
      <c r="G147" s="30">
        <v>777</v>
      </c>
      <c r="H147" s="32"/>
      <c r="I147" s="26">
        <f>EOMONTH('Raw Data'!N145, 0)</f>
        <v>44834</v>
      </c>
      <c r="J147" s="32"/>
    </row>
    <row r="148" spans="2:10" x14ac:dyDescent="0.35">
      <c r="B148" s="32"/>
      <c r="C148" s="25"/>
      <c r="D148" s="25"/>
      <c r="E148" s="25"/>
      <c r="F148" s="32"/>
      <c r="G148" s="30">
        <v>838</v>
      </c>
      <c r="H148" s="32"/>
      <c r="I148" s="26">
        <f>EOMONTH('Raw Data'!N146, 0)</f>
        <v>44773</v>
      </c>
      <c r="J148" s="32"/>
    </row>
    <row r="149" spans="2:10" x14ac:dyDescent="0.35">
      <c r="B149" s="32"/>
      <c r="C149" s="25"/>
      <c r="D149" s="25"/>
      <c r="E149" s="25"/>
      <c r="F149" s="32"/>
      <c r="G149" s="30">
        <v>913</v>
      </c>
      <c r="H149" s="32"/>
      <c r="I149" s="26">
        <f>EOMONTH('Raw Data'!N147, 0)</f>
        <v>44712</v>
      </c>
      <c r="J149" s="32"/>
    </row>
    <row r="150" spans="2:10" x14ac:dyDescent="0.35">
      <c r="B150" s="32"/>
      <c r="C150" s="25"/>
      <c r="D150" s="25"/>
      <c r="E150" s="25"/>
      <c r="F150" s="32"/>
      <c r="G150" s="30">
        <v>948</v>
      </c>
      <c r="H150" s="32"/>
      <c r="I150" s="26">
        <f>EOMONTH('Raw Data'!N148, 0)</f>
        <v>44681</v>
      </c>
      <c r="J150" s="32"/>
    </row>
    <row r="151" spans="2:10" x14ac:dyDescent="0.35">
      <c r="B151" s="32"/>
      <c r="C151" s="25"/>
      <c r="D151" s="25"/>
      <c r="E151" s="25"/>
      <c r="F151" s="32"/>
      <c r="G151" s="30">
        <v>707</v>
      </c>
      <c r="H151" s="32"/>
      <c r="I151" s="26">
        <f>EOMONTH('Raw Data'!N149, 0)</f>
        <v>44926</v>
      </c>
      <c r="J151" s="32"/>
    </row>
    <row r="152" spans="2:10" x14ac:dyDescent="0.35">
      <c r="B152" s="32"/>
      <c r="C152" s="25"/>
      <c r="D152" s="25"/>
      <c r="E152" s="25"/>
      <c r="F152" s="32"/>
      <c r="G152" s="30">
        <v>348</v>
      </c>
      <c r="H152" s="32"/>
      <c r="I152" s="26">
        <f>EOMONTH('Raw Data'!N150, 0)</f>
        <v>45260</v>
      </c>
      <c r="J152" s="32"/>
    </row>
    <row r="153" spans="2:10" x14ac:dyDescent="0.35">
      <c r="B153" s="32"/>
      <c r="C153" s="25"/>
      <c r="D153" s="25"/>
      <c r="E153" s="25"/>
      <c r="F153" s="32"/>
      <c r="G153" s="30">
        <v>744</v>
      </c>
      <c r="H153" s="32"/>
      <c r="I153" s="26">
        <f>EOMONTH('Raw Data'!N151, 0)</f>
        <v>44895</v>
      </c>
      <c r="J153" s="32"/>
    </row>
    <row r="154" spans="2:10" x14ac:dyDescent="0.35">
      <c r="B154" s="32"/>
      <c r="C154" s="25"/>
      <c r="D154" s="25"/>
      <c r="E154" s="25"/>
      <c r="F154" s="32"/>
      <c r="G154" s="30">
        <v>843</v>
      </c>
      <c r="H154" s="32"/>
      <c r="I154" s="26">
        <f>EOMONTH('Raw Data'!N152, 0)</f>
        <v>44773</v>
      </c>
      <c r="J154" s="32"/>
    </row>
    <row r="155" spans="2:10" x14ac:dyDescent="0.35">
      <c r="B155" s="32"/>
      <c r="C155" s="25"/>
      <c r="D155" s="25"/>
      <c r="E155" s="25"/>
      <c r="F155" s="32"/>
      <c r="G155" s="30">
        <v>1190</v>
      </c>
      <c r="H155" s="32"/>
      <c r="I155" s="26">
        <f>EOMONTH('Raw Data'!N153, 0)</f>
        <v>44439</v>
      </c>
      <c r="J155" s="32"/>
    </row>
    <row r="156" spans="2:10" x14ac:dyDescent="0.35">
      <c r="B156" s="32"/>
      <c r="C156" s="25"/>
      <c r="D156" s="25"/>
      <c r="E156" s="25"/>
      <c r="F156" s="32"/>
      <c r="G156" s="30">
        <v>1059</v>
      </c>
      <c r="H156" s="32"/>
      <c r="I156" s="26">
        <f>EOMONTH('Raw Data'!N154, 0)</f>
        <v>44561</v>
      </c>
      <c r="J156" s="32"/>
    </row>
    <row r="157" spans="2:10" x14ac:dyDescent="0.35">
      <c r="B157" s="32"/>
      <c r="C157" s="25"/>
      <c r="D157" s="25"/>
      <c r="E157" s="25"/>
      <c r="F157" s="32"/>
      <c r="G157" s="30">
        <v>1036</v>
      </c>
      <c r="H157" s="32"/>
      <c r="I157" s="26">
        <f>EOMONTH('Raw Data'!N155, 0)</f>
        <v>44592</v>
      </c>
      <c r="J157" s="32"/>
    </row>
    <row r="158" spans="2:10" x14ac:dyDescent="0.35">
      <c r="B158" s="32"/>
      <c r="C158" s="25"/>
      <c r="D158" s="25"/>
      <c r="E158" s="25"/>
      <c r="F158" s="32"/>
      <c r="G158" s="30">
        <v>749</v>
      </c>
      <c r="H158" s="32"/>
      <c r="I158" s="26">
        <f>EOMONTH('Raw Data'!N156, 0)</f>
        <v>44895</v>
      </c>
      <c r="J158" s="32"/>
    </row>
    <row r="159" spans="2:10" x14ac:dyDescent="0.35">
      <c r="B159" s="32"/>
      <c r="C159" s="25"/>
      <c r="D159" s="25"/>
      <c r="E159" s="25"/>
      <c r="F159" s="32"/>
      <c r="G159" s="30">
        <v>522</v>
      </c>
      <c r="H159" s="32"/>
      <c r="I159" s="26">
        <f>EOMONTH('Raw Data'!N157, 0)</f>
        <v>45107</v>
      </c>
      <c r="J159" s="32"/>
    </row>
    <row r="160" spans="2:10" x14ac:dyDescent="0.35">
      <c r="B160" s="32"/>
      <c r="C160" s="25"/>
      <c r="D160" s="25"/>
      <c r="E160" s="25"/>
      <c r="F160" s="32"/>
      <c r="G160" s="30">
        <v>968</v>
      </c>
      <c r="H160" s="32"/>
      <c r="I160" s="26">
        <f>EOMONTH('Raw Data'!N158, 0)</f>
        <v>44681</v>
      </c>
      <c r="J160" s="32"/>
    </row>
    <row r="161" spans="2:10" x14ac:dyDescent="0.35">
      <c r="B161" s="32"/>
      <c r="C161" s="25"/>
      <c r="D161" s="25"/>
      <c r="E161" s="25"/>
      <c r="F161" s="32"/>
      <c r="G161" s="30">
        <v>1142</v>
      </c>
      <c r="H161" s="32"/>
      <c r="I161" s="26">
        <f>EOMONTH('Raw Data'!N159, 0)</f>
        <v>44500</v>
      </c>
      <c r="J161" s="32"/>
    </row>
    <row r="162" spans="2:10" x14ac:dyDescent="0.35">
      <c r="B162" s="32"/>
      <c r="C162" s="25"/>
      <c r="D162" s="25"/>
      <c r="E162" s="25"/>
      <c r="F162" s="32"/>
      <c r="G162" s="30">
        <v>1152</v>
      </c>
      <c r="H162" s="32"/>
      <c r="I162" s="26">
        <f>EOMONTH('Raw Data'!N160, 0)</f>
        <v>44500</v>
      </c>
      <c r="J162" s="32"/>
    </row>
    <row r="163" spans="2:10" x14ac:dyDescent="0.35">
      <c r="B163" s="32"/>
      <c r="C163" s="25"/>
      <c r="D163" s="25"/>
      <c r="E163" s="25"/>
      <c r="F163" s="32"/>
      <c r="G163" s="30">
        <v>683</v>
      </c>
      <c r="H163" s="32"/>
      <c r="I163" s="26">
        <f>EOMONTH('Raw Data'!N161, 0)</f>
        <v>44957</v>
      </c>
      <c r="J163" s="32"/>
    </row>
    <row r="164" spans="2:10" x14ac:dyDescent="0.35">
      <c r="B164" s="32"/>
      <c r="C164" s="25"/>
      <c r="D164" s="25"/>
      <c r="E164" s="25"/>
      <c r="F164" s="32"/>
      <c r="G164" s="30">
        <v>531</v>
      </c>
      <c r="H164" s="32"/>
      <c r="I164" s="26">
        <f>EOMONTH('Raw Data'!N162, 0)</f>
        <v>45107</v>
      </c>
      <c r="J164" s="32"/>
    </row>
    <row r="165" spans="2:10" x14ac:dyDescent="0.35">
      <c r="B165" s="32"/>
      <c r="C165" s="25"/>
      <c r="D165" s="25"/>
      <c r="E165" s="25"/>
      <c r="F165" s="32"/>
      <c r="G165" s="30">
        <v>927</v>
      </c>
      <c r="H165" s="32"/>
      <c r="I165" s="26">
        <f>EOMONTH('Raw Data'!N163, 0)</f>
        <v>44712</v>
      </c>
      <c r="J165" s="32"/>
    </row>
    <row r="166" spans="2:10" x14ac:dyDescent="0.35">
      <c r="B166" s="32"/>
      <c r="C166" s="25"/>
      <c r="D166" s="25"/>
      <c r="E166" s="25"/>
      <c r="F166" s="32"/>
      <c r="G166" s="30">
        <v>1239</v>
      </c>
      <c r="H166" s="32"/>
      <c r="I166" s="26">
        <f>EOMONTH('Raw Data'!N164, 0)</f>
        <v>44408</v>
      </c>
      <c r="J166" s="32"/>
    </row>
    <row r="167" spans="2:10" x14ac:dyDescent="0.35">
      <c r="B167" s="32"/>
      <c r="C167" s="25"/>
      <c r="D167" s="25"/>
      <c r="E167" s="25"/>
      <c r="F167" s="32"/>
      <c r="G167" s="30">
        <v>583</v>
      </c>
      <c r="H167" s="32"/>
      <c r="I167" s="26">
        <f>EOMONTH('Raw Data'!N165, 0)</f>
        <v>45077</v>
      </c>
      <c r="J167" s="32"/>
    </row>
    <row r="168" spans="2:10" x14ac:dyDescent="0.35">
      <c r="B168" s="32"/>
      <c r="C168" s="25"/>
      <c r="D168" s="25"/>
      <c r="E168" s="25"/>
      <c r="F168" s="32"/>
      <c r="G168" s="30">
        <v>714</v>
      </c>
      <c r="H168" s="32"/>
      <c r="I168" s="26">
        <f>EOMONTH('Raw Data'!N166, 0)</f>
        <v>44926</v>
      </c>
      <c r="J168" s="32"/>
    </row>
    <row r="169" spans="2:10" x14ac:dyDescent="0.35">
      <c r="B169" s="32"/>
      <c r="C169" s="25"/>
      <c r="D169" s="25"/>
      <c r="E169" s="25"/>
      <c r="F169" s="32"/>
      <c r="G169" s="30">
        <v>857</v>
      </c>
      <c r="H169" s="32"/>
      <c r="I169" s="26">
        <f>EOMONTH('Raw Data'!N167, 0)</f>
        <v>44804</v>
      </c>
      <c r="J169" s="32"/>
    </row>
    <row r="170" spans="2:10" x14ac:dyDescent="0.35">
      <c r="B170" s="32"/>
      <c r="C170" s="25"/>
      <c r="D170" s="25"/>
      <c r="E170" s="25"/>
      <c r="F170" s="32"/>
      <c r="G170" s="30">
        <v>1232</v>
      </c>
      <c r="H170" s="32"/>
      <c r="I170" s="26">
        <f>EOMONTH('Raw Data'!N168, 0)</f>
        <v>44408</v>
      </c>
      <c r="J170" s="32"/>
    </row>
    <row r="171" spans="2:10" x14ac:dyDescent="0.35">
      <c r="B171" s="32"/>
      <c r="C171" s="25"/>
      <c r="D171" s="25"/>
      <c r="E171" s="25"/>
      <c r="F171" s="32"/>
      <c r="G171" s="30">
        <v>441</v>
      </c>
      <c r="H171" s="32"/>
      <c r="I171" s="26">
        <f>EOMONTH('Raw Data'!N169, 0)</f>
        <v>45230</v>
      </c>
      <c r="J171" s="32"/>
    </row>
    <row r="172" spans="2:10" x14ac:dyDescent="0.35">
      <c r="B172" s="32"/>
      <c r="C172" s="25"/>
      <c r="D172" s="25"/>
      <c r="E172" s="25"/>
      <c r="F172" s="32"/>
      <c r="G172" s="30">
        <v>917</v>
      </c>
      <c r="H172" s="32"/>
      <c r="I172" s="26">
        <f>EOMONTH('Raw Data'!N170, 0)</f>
        <v>44742</v>
      </c>
      <c r="J172" s="32"/>
    </row>
    <row r="173" spans="2:10" x14ac:dyDescent="0.35">
      <c r="B173" s="32"/>
      <c r="C173" s="25"/>
      <c r="D173" s="25"/>
      <c r="E173" s="25"/>
      <c r="F173" s="32"/>
      <c r="G173" s="30">
        <v>453</v>
      </c>
      <c r="H173" s="32"/>
      <c r="I173" s="26">
        <f>EOMONTH('Raw Data'!N171, 0)</f>
        <v>45199</v>
      </c>
      <c r="J173" s="32"/>
    </row>
    <row r="174" spans="2:10" x14ac:dyDescent="0.35">
      <c r="B174" s="32"/>
      <c r="C174" s="25"/>
      <c r="D174" s="25"/>
      <c r="E174" s="25"/>
      <c r="F174" s="32"/>
      <c r="G174" s="30">
        <v>885</v>
      </c>
      <c r="H174" s="32"/>
      <c r="I174" s="26">
        <f>EOMONTH('Raw Data'!N172, 0)</f>
        <v>44773</v>
      </c>
      <c r="J174" s="32"/>
    </row>
    <row r="175" spans="2:10" x14ac:dyDescent="0.35">
      <c r="B175" s="32"/>
      <c r="C175" s="25"/>
      <c r="D175" s="25"/>
      <c r="E175" s="25"/>
      <c r="F175" s="32"/>
      <c r="G175" s="30">
        <v>1020</v>
      </c>
      <c r="H175" s="32"/>
      <c r="I175" s="26">
        <f>EOMONTH('Raw Data'!N173, 0)</f>
        <v>44651</v>
      </c>
      <c r="J175" s="32"/>
    </row>
    <row r="176" spans="2:10" x14ac:dyDescent="0.35">
      <c r="B176" s="32"/>
      <c r="C176" s="25"/>
      <c r="D176" s="25"/>
      <c r="E176" s="25"/>
      <c r="F176" s="32"/>
      <c r="G176" s="30">
        <v>407</v>
      </c>
      <c r="H176" s="32"/>
      <c r="I176" s="26">
        <f>EOMONTH('Raw Data'!N174, 0)</f>
        <v>45260</v>
      </c>
      <c r="J176" s="32"/>
    </row>
    <row r="177" spans="2:10" x14ac:dyDescent="0.35">
      <c r="B177" s="32"/>
      <c r="C177" s="25"/>
      <c r="D177" s="25"/>
      <c r="E177" s="25"/>
      <c r="F177" s="32"/>
      <c r="G177" s="30">
        <v>368</v>
      </c>
      <c r="H177" s="32"/>
      <c r="I177" s="26">
        <f>EOMONTH('Raw Data'!N175, 0)</f>
        <v>45291</v>
      </c>
      <c r="J177" s="32"/>
    </row>
    <row r="178" spans="2:10" x14ac:dyDescent="0.35">
      <c r="B178" s="32"/>
      <c r="C178" s="25"/>
      <c r="D178" s="25"/>
      <c r="E178" s="25"/>
      <c r="F178" s="32"/>
      <c r="G178" s="30">
        <v>1126</v>
      </c>
      <c r="H178" s="32"/>
      <c r="I178" s="26">
        <f>EOMONTH('Raw Data'!N176, 0)</f>
        <v>44530</v>
      </c>
      <c r="J178" s="32"/>
    </row>
    <row r="179" spans="2:10" x14ac:dyDescent="0.35">
      <c r="B179" s="32"/>
      <c r="C179" s="25"/>
      <c r="D179" s="25"/>
      <c r="E179" s="25"/>
      <c r="F179" s="32"/>
      <c r="G179" s="30">
        <v>928</v>
      </c>
      <c r="H179" s="32"/>
      <c r="I179" s="26">
        <f>EOMONTH('Raw Data'!N177, 0)</f>
        <v>44742</v>
      </c>
      <c r="J179" s="32"/>
    </row>
    <row r="180" spans="2:10" x14ac:dyDescent="0.35">
      <c r="B180" s="32"/>
      <c r="C180" s="25"/>
      <c r="D180" s="25"/>
      <c r="E180" s="25"/>
      <c r="F180" s="32"/>
      <c r="G180" s="30">
        <v>883</v>
      </c>
      <c r="H180" s="32"/>
      <c r="I180" s="26">
        <f>EOMONTH('Raw Data'!N178, 0)</f>
        <v>44773</v>
      </c>
      <c r="J180" s="32"/>
    </row>
    <row r="181" spans="2:10" x14ac:dyDescent="0.35">
      <c r="B181" s="32"/>
      <c r="C181" s="25"/>
      <c r="D181" s="25"/>
      <c r="E181" s="25"/>
      <c r="F181" s="32"/>
      <c r="G181" s="30">
        <v>1131</v>
      </c>
      <c r="H181" s="32"/>
      <c r="I181" s="26">
        <f>EOMONTH('Raw Data'!N179, 0)</f>
        <v>44530</v>
      </c>
      <c r="J181" s="32"/>
    </row>
    <row r="182" spans="2:10" x14ac:dyDescent="0.35">
      <c r="B182" s="32"/>
      <c r="C182" s="25"/>
      <c r="D182" s="25"/>
      <c r="E182" s="25"/>
      <c r="F182" s="32"/>
      <c r="G182" s="30">
        <v>1064</v>
      </c>
      <c r="H182" s="32"/>
      <c r="I182" s="26">
        <f>EOMONTH('Raw Data'!N180, 0)</f>
        <v>44592</v>
      </c>
      <c r="J182" s="32"/>
    </row>
    <row r="183" spans="2:10" x14ac:dyDescent="0.35">
      <c r="B183" s="32"/>
      <c r="C183" s="25"/>
      <c r="D183" s="25"/>
      <c r="E183" s="25"/>
      <c r="F183" s="32"/>
      <c r="G183" s="30">
        <v>308</v>
      </c>
      <c r="H183" s="32"/>
      <c r="I183" s="26">
        <f>EOMONTH('Raw Data'!N181, 0)</f>
        <v>45351</v>
      </c>
      <c r="J183" s="32"/>
    </row>
    <row r="184" spans="2:10" x14ac:dyDescent="0.35">
      <c r="B184" s="32"/>
      <c r="C184" s="25"/>
      <c r="D184" s="25"/>
      <c r="E184" s="25"/>
      <c r="F184" s="32"/>
      <c r="G184" s="30">
        <v>607</v>
      </c>
      <c r="H184" s="32"/>
      <c r="I184" s="26">
        <f>EOMONTH('Raw Data'!N182, 0)</f>
        <v>45077</v>
      </c>
      <c r="J184" s="32"/>
    </row>
    <row r="185" spans="2:10" x14ac:dyDescent="0.35">
      <c r="B185" s="32"/>
      <c r="C185" s="25"/>
      <c r="D185" s="25"/>
      <c r="E185" s="25"/>
      <c r="F185" s="32"/>
      <c r="G185" s="30">
        <v>1096</v>
      </c>
      <c r="H185" s="32"/>
      <c r="I185" s="26">
        <f>EOMONTH('Raw Data'!N183, 0)</f>
        <v>44592</v>
      </c>
      <c r="J185" s="32"/>
    </row>
    <row r="186" spans="2:10" x14ac:dyDescent="0.35">
      <c r="B186" s="32"/>
      <c r="C186" s="25"/>
      <c r="D186" s="25"/>
      <c r="E186" s="25"/>
      <c r="F186" s="32"/>
      <c r="G186" s="30">
        <v>909</v>
      </c>
      <c r="H186" s="32"/>
      <c r="I186" s="26">
        <f>EOMONTH('Raw Data'!N184, 0)</f>
        <v>44773</v>
      </c>
      <c r="J186" s="32"/>
    </row>
    <row r="187" spans="2:10" x14ac:dyDescent="0.35">
      <c r="B187" s="32"/>
      <c r="C187" s="25"/>
      <c r="D187" s="25"/>
      <c r="E187" s="25"/>
      <c r="F187" s="32"/>
      <c r="G187" s="30">
        <v>839</v>
      </c>
      <c r="H187" s="32"/>
      <c r="I187" s="26">
        <f>EOMONTH('Raw Data'!N185, 0)</f>
        <v>44834</v>
      </c>
      <c r="J187" s="32"/>
    </row>
    <row r="188" spans="2:10" x14ac:dyDescent="0.35">
      <c r="B188" s="32"/>
      <c r="C188" s="25"/>
      <c r="D188" s="25"/>
      <c r="E188" s="25"/>
      <c r="F188" s="32"/>
      <c r="G188" s="30">
        <v>1241</v>
      </c>
      <c r="H188" s="32"/>
      <c r="I188" s="26">
        <f>EOMONTH('Raw Data'!N186, 0)</f>
        <v>44439</v>
      </c>
      <c r="J188" s="32"/>
    </row>
    <row r="189" spans="2:10" x14ac:dyDescent="0.35">
      <c r="B189" s="32"/>
      <c r="C189" s="25"/>
      <c r="D189" s="25"/>
      <c r="E189" s="25"/>
      <c r="F189" s="32"/>
      <c r="G189" s="30">
        <v>561</v>
      </c>
      <c r="H189" s="32"/>
      <c r="I189" s="26">
        <f>EOMONTH('Raw Data'!N187, 0)</f>
        <v>45107</v>
      </c>
      <c r="J189" s="32"/>
    </row>
    <row r="190" spans="2:10" x14ac:dyDescent="0.35">
      <c r="B190" s="32"/>
      <c r="C190" s="25"/>
      <c r="D190" s="25"/>
      <c r="E190" s="25"/>
      <c r="F190" s="32"/>
      <c r="G190" s="30">
        <v>1034</v>
      </c>
      <c r="H190" s="32"/>
      <c r="I190" s="26">
        <f>EOMONTH('Raw Data'!N188, 0)</f>
        <v>44651</v>
      </c>
      <c r="J190" s="32"/>
    </row>
    <row r="191" spans="2:10" x14ac:dyDescent="0.35">
      <c r="B191" s="32"/>
      <c r="C191" s="25"/>
      <c r="D191" s="25"/>
      <c r="E191" s="25"/>
      <c r="F191" s="32"/>
      <c r="G191" s="30">
        <v>337</v>
      </c>
      <c r="H191" s="32"/>
      <c r="I191" s="26">
        <f>EOMONTH('Raw Data'!N189, 0)</f>
        <v>45351</v>
      </c>
      <c r="J191" s="32"/>
    </row>
    <row r="192" spans="2:10" x14ac:dyDescent="0.35">
      <c r="B192" s="32"/>
      <c r="C192" s="25"/>
      <c r="D192" s="25"/>
      <c r="E192" s="25"/>
      <c r="F192" s="32"/>
      <c r="G192" s="30">
        <v>1132</v>
      </c>
      <c r="H192" s="32"/>
      <c r="I192" s="26">
        <f>EOMONTH('Raw Data'!N190, 0)</f>
        <v>44561</v>
      </c>
      <c r="J192" s="32"/>
    </row>
    <row r="193" spans="2:10" x14ac:dyDescent="0.35">
      <c r="B193" s="32"/>
      <c r="C193" s="25"/>
      <c r="D193" s="25"/>
      <c r="E193" s="25"/>
      <c r="F193" s="32"/>
      <c r="G193" s="30">
        <v>1066</v>
      </c>
      <c r="H193" s="32"/>
      <c r="I193" s="26">
        <f>EOMONTH('Raw Data'!N191, 0)</f>
        <v>44620</v>
      </c>
      <c r="J193" s="32"/>
    </row>
    <row r="194" spans="2:10" x14ac:dyDescent="0.35">
      <c r="B194" s="32"/>
      <c r="C194" s="25"/>
      <c r="D194" s="25"/>
      <c r="E194" s="25"/>
      <c r="F194" s="32"/>
      <c r="G194" s="30">
        <v>348</v>
      </c>
      <c r="H194" s="32"/>
      <c r="I194" s="26">
        <f>EOMONTH('Raw Data'!N192, 0)</f>
        <v>45322</v>
      </c>
      <c r="J194" s="32"/>
    </row>
    <row r="195" spans="2:10" x14ac:dyDescent="0.35">
      <c r="B195" s="32"/>
      <c r="C195" s="25"/>
      <c r="D195" s="25"/>
      <c r="E195" s="25"/>
      <c r="F195" s="32"/>
      <c r="G195" s="30">
        <v>1234</v>
      </c>
      <c r="H195" s="32"/>
      <c r="I195" s="26">
        <f>EOMONTH('Raw Data'!N193, 0)</f>
        <v>44439</v>
      </c>
      <c r="J195" s="32"/>
    </row>
    <row r="196" spans="2:10" x14ac:dyDescent="0.35">
      <c r="B196" s="32"/>
      <c r="C196" s="25"/>
      <c r="D196" s="25"/>
      <c r="E196" s="25"/>
      <c r="F196" s="32"/>
      <c r="G196" s="30">
        <v>1211</v>
      </c>
      <c r="H196" s="32"/>
      <c r="I196" s="26">
        <f>EOMONTH('Raw Data'!N194, 0)</f>
        <v>44469</v>
      </c>
      <c r="J196" s="32"/>
    </row>
    <row r="197" spans="2:10" x14ac:dyDescent="0.35">
      <c r="B197" s="32"/>
      <c r="C197" s="25"/>
      <c r="D197" s="25"/>
      <c r="E197" s="25"/>
      <c r="F197" s="32"/>
      <c r="G197" s="30">
        <v>758</v>
      </c>
      <c r="H197" s="32"/>
      <c r="I197" s="26">
        <f>EOMONTH('Raw Data'!N195, 0)</f>
        <v>44926</v>
      </c>
      <c r="J197" s="32"/>
    </row>
    <row r="198" spans="2:10" x14ac:dyDescent="0.35">
      <c r="B198" s="32"/>
      <c r="C198" s="25"/>
      <c r="D198" s="25"/>
      <c r="E198" s="25"/>
      <c r="F198" s="32"/>
      <c r="G198" s="30">
        <v>467</v>
      </c>
      <c r="H198" s="32"/>
      <c r="I198" s="26">
        <f>EOMONTH('Raw Data'!N196, 0)</f>
        <v>45230</v>
      </c>
      <c r="J198" s="32"/>
    </row>
    <row r="199" spans="2:10" x14ac:dyDescent="0.35">
      <c r="B199" s="32"/>
      <c r="C199" s="25"/>
      <c r="D199" s="25"/>
      <c r="E199" s="25"/>
      <c r="F199" s="32"/>
      <c r="G199" s="30">
        <v>1129</v>
      </c>
      <c r="H199" s="32"/>
      <c r="I199" s="26">
        <f>EOMONTH('Raw Data'!N197, 0)</f>
        <v>44561</v>
      </c>
      <c r="J199" s="32"/>
    </row>
    <row r="200" spans="2:10" x14ac:dyDescent="0.35">
      <c r="B200" s="32"/>
      <c r="C200" s="25"/>
      <c r="D200" s="25"/>
      <c r="E200" s="25"/>
      <c r="F200" s="32"/>
      <c r="G200" s="30">
        <v>1242</v>
      </c>
      <c r="H200" s="32"/>
      <c r="I200" s="26">
        <f>EOMONTH('Raw Data'!N198, 0)</f>
        <v>44439</v>
      </c>
      <c r="J200" s="32"/>
    </row>
    <row r="201" spans="2:10" x14ac:dyDescent="0.35">
      <c r="B201" s="32"/>
      <c r="C201" s="25"/>
      <c r="D201" s="25"/>
      <c r="E201" s="25"/>
      <c r="F201" s="32"/>
      <c r="G201" s="30">
        <v>1278</v>
      </c>
      <c r="H201" s="32"/>
      <c r="I201" s="26">
        <f>EOMONTH('Raw Data'!N199, 0)</f>
        <v>44408</v>
      </c>
      <c r="J201" s="32"/>
    </row>
    <row r="202" spans="2:10" x14ac:dyDescent="0.35">
      <c r="B202" s="32"/>
      <c r="C202" s="25"/>
      <c r="D202" s="25"/>
      <c r="E202" s="25"/>
      <c r="F202" s="32"/>
      <c r="G202" s="30">
        <v>1034</v>
      </c>
      <c r="H202" s="32"/>
      <c r="I202" s="26">
        <f>EOMONTH('Raw Data'!N200, 0)</f>
        <v>44651</v>
      </c>
      <c r="J202" s="32"/>
    </row>
    <row r="203" spans="2:10" x14ac:dyDescent="0.35">
      <c r="B203" s="32"/>
      <c r="C203" s="25"/>
      <c r="D203" s="25"/>
      <c r="E203" s="25"/>
      <c r="F203" s="32"/>
      <c r="G203" s="30">
        <v>1118</v>
      </c>
      <c r="H203" s="32"/>
      <c r="I203" s="26">
        <f>EOMONTH('Raw Data'!N201, 0)</f>
        <v>44592</v>
      </c>
      <c r="J203" s="32"/>
    </row>
    <row r="204" spans="2:10" x14ac:dyDescent="0.35">
      <c r="B204" s="32"/>
      <c r="C204" s="25"/>
      <c r="D204" s="25"/>
      <c r="E204" s="25"/>
      <c r="F204" s="32"/>
      <c r="G204" s="30">
        <v>466</v>
      </c>
      <c r="H204" s="32"/>
      <c r="I204" s="26">
        <f>EOMONTH('Raw Data'!N202, 0)</f>
        <v>45230</v>
      </c>
      <c r="J204" s="32"/>
    </row>
    <row r="205" spans="2:10" x14ac:dyDescent="0.35">
      <c r="B205" s="32"/>
      <c r="C205" s="25"/>
      <c r="D205" s="25"/>
      <c r="E205" s="25"/>
      <c r="F205" s="32"/>
      <c r="G205" s="30">
        <v>952</v>
      </c>
      <c r="H205" s="32"/>
      <c r="I205" s="26">
        <f>EOMONTH('Raw Data'!N203, 0)</f>
        <v>44742</v>
      </c>
      <c r="J205" s="32"/>
    </row>
    <row r="206" spans="2:10" x14ac:dyDescent="0.35">
      <c r="B206" s="32"/>
      <c r="C206" s="25"/>
      <c r="D206" s="25"/>
      <c r="E206" s="25"/>
      <c r="F206" s="32"/>
      <c r="G206" s="30">
        <v>734</v>
      </c>
      <c r="H206" s="32"/>
      <c r="I206" s="26">
        <f>EOMONTH('Raw Data'!N204, 0)</f>
        <v>44957</v>
      </c>
      <c r="J206" s="32"/>
    </row>
    <row r="207" spans="2:10" x14ac:dyDescent="0.35">
      <c r="B207" s="32"/>
      <c r="C207" s="25"/>
      <c r="D207" s="25"/>
      <c r="E207" s="25"/>
      <c r="F207" s="32"/>
      <c r="G207" s="30">
        <v>1005</v>
      </c>
      <c r="H207" s="32"/>
      <c r="I207" s="26">
        <f>EOMONTH('Raw Data'!N205, 0)</f>
        <v>44681</v>
      </c>
      <c r="J207" s="32"/>
    </row>
    <row r="208" spans="2:10" x14ac:dyDescent="0.35">
      <c r="B208" s="32"/>
      <c r="C208" s="25"/>
      <c r="D208" s="25"/>
      <c r="E208" s="25"/>
      <c r="F208" s="32"/>
      <c r="G208" s="30">
        <v>996</v>
      </c>
      <c r="H208" s="32"/>
      <c r="I208" s="26">
        <f>EOMONTH('Raw Data'!N206, 0)</f>
        <v>44712</v>
      </c>
      <c r="J208" s="32"/>
    </row>
    <row r="209" spans="2:10" x14ac:dyDescent="0.35">
      <c r="B209" s="32"/>
      <c r="C209" s="25"/>
      <c r="D209" s="25"/>
      <c r="E209" s="25"/>
      <c r="F209" s="32"/>
      <c r="G209" s="30">
        <v>911</v>
      </c>
      <c r="H209" s="32"/>
      <c r="I209" s="26">
        <f>EOMONTH('Raw Data'!N207, 0)</f>
        <v>44804</v>
      </c>
      <c r="J209" s="32"/>
    </row>
    <row r="210" spans="2:10" x14ac:dyDescent="0.35">
      <c r="B210" s="32"/>
      <c r="C210" s="25"/>
      <c r="D210" s="25"/>
      <c r="E210" s="25"/>
      <c r="F210" s="32"/>
      <c r="G210" s="30">
        <v>381</v>
      </c>
      <c r="H210" s="32"/>
      <c r="I210" s="26">
        <f>EOMONTH('Raw Data'!N208, 0)</f>
        <v>45322</v>
      </c>
      <c r="J210" s="32"/>
    </row>
    <row r="211" spans="2:10" x14ac:dyDescent="0.35">
      <c r="B211" s="32"/>
      <c r="C211" s="25"/>
      <c r="D211" s="25"/>
      <c r="E211" s="25"/>
      <c r="F211" s="32"/>
      <c r="G211" s="30">
        <v>647</v>
      </c>
      <c r="H211" s="32"/>
      <c r="I211" s="26">
        <f>EOMONTH('Raw Data'!N209, 0)</f>
        <v>45046</v>
      </c>
      <c r="J211" s="32"/>
    </row>
    <row r="212" spans="2:10" x14ac:dyDescent="0.35">
      <c r="B212" s="32"/>
      <c r="C212" s="25"/>
      <c r="D212" s="25"/>
      <c r="E212" s="25"/>
      <c r="F212" s="32"/>
      <c r="G212" s="30">
        <v>1131</v>
      </c>
      <c r="H212" s="32"/>
      <c r="I212" s="26">
        <f>EOMONTH('Raw Data'!N210, 0)</f>
        <v>44592</v>
      </c>
      <c r="J212" s="32"/>
    </row>
    <row r="213" spans="2:10" x14ac:dyDescent="0.35">
      <c r="B213" s="32"/>
      <c r="C213" s="25"/>
      <c r="D213" s="25"/>
      <c r="E213" s="25"/>
      <c r="F213" s="32"/>
      <c r="G213" s="30">
        <v>736</v>
      </c>
      <c r="H213" s="32"/>
      <c r="I213" s="26">
        <f>EOMONTH('Raw Data'!N211, 0)</f>
        <v>44985</v>
      </c>
      <c r="J213" s="32"/>
    </row>
    <row r="214" spans="2:10" x14ac:dyDescent="0.35">
      <c r="B214" s="32"/>
      <c r="C214" s="25"/>
      <c r="D214" s="25"/>
      <c r="E214" s="25"/>
      <c r="F214" s="32"/>
      <c r="G214" s="30">
        <v>519</v>
      </c>
      <c r="H214" s="32"/>
      <c r="I214" s="26">
        <f>EOMONTH('Raw Data'!N212, 0)</f>
        <v>45199</v>
      </c>
      <c r="J214" s="32"/>
    </row>
    <row r="215" spans="2:10" x14ac:dyDescent="0.35">
      <c r="B215" s="32"/>
      <c r="C215" s="25"/>
      <c r="D215" s="25"/>
      <c r="E215" s="25"/>
      <c r="F215" s="32"/>
      <c r="G215" s="30">
        <v>1265</v>
      </c>
      <c r="H215" s="32"/>
      <c r="I215" s="26">
        <f>EOMONTH('Raw Data'!N213, 0)</f>
        <v>44439</v>
      </c>
      <c r="J215" s="32"/>
    </row>
    <row r="216" spans="2:10" x14ac:dyDescent="0.35">
      <c r="B216" s="32"/>
      <c r="C216" s="25"/>
      <c r="D216" s="25"/>
      <c r="E216" s="25"/>
      <c r="F216" s="32"/>
      <c r="G216" s="30">
        <v>969</v>
      </c>
      <c r="H216" s="32"/>
      <c r="I216" s="26">
        <f>EOMONTH('Raw Data'!N214, 0)</f>
        <v>44742</v>
      </c>
      <c r="J216" s="32"/>
    </row>
    <row r="217" spans="2:10" x14ac:dyDescent="0.35">
      <c r="B217" s="32"/>
      <c r="C217" s="25"/>
      <c r="D217" s="25"/>
      <c r="E217" s="25"/>
      <c r="F217" s="32"/>
      <c r="G217" s="30">
        <v>447</v>
      </c>
      <c r="H217" s="32"/>
      <c r="I217" s="26">
        <f>EOMONTH('Raw Data'!N215, 0)</f>
        <v>45260</v>
      </c>
      <c r="J217" s="32"/>
    </row>
    <row r="218" spans="2:10" x14ac:dyDescent="0.35">
      <c r="B218" s="32"/>
      <c r="C218" s="25"/>
      <c r="D218" s="25"/>
      <c r="E218" s="25"/>
      <c r="F218" s="32"/>
      <c r="G218" s="30">
        <v>977</v>
      </c>
      <c r="H218" s="32"/>
      <c r="I218" s="26">
        <f>EOMONTH('Raw Data'!N216, 0)</f>
        <v>44742</v>
      </c>
      <c r="J218" s="32"/>
    </row>
    <row r="219" spans="2:10" x14ac:dyDescent="0.35">
      <c r="B219" s="32"/>
      <c r="C219" s="25"/>
      <c r="D219" s="25"/>
      <c r="E219" s="25"/>
      <c r="F219" s="32"/>
      <c r="G219" s="30">
        <v>355</v>
      </c>
      <c r="H219" s="32"/>
      <c r="I219" s="26">
        <f>EOMONTH('Raw Data'!N217, 0)</f>
        <v>45382</v>
      </c>
      <c r="J219" s="32"/>
    </row>
    <row r="220" spans="2:10" x14ac:dyDescent="0.35">
      <c r="B220" s="32"/>
      <c r="C220" s="25"/>
      <c r="D220" s="25"/>
      <c r="E220" s="25"/>
      <c r="F220" s="32"/>
      <c r="G220" s="30">
        <v>1074</v>
      </c>
      <c r="H220" s="32"/>
      <c r="I220" s="26">
        <f>EOMONTH('Raw Data'!N218, 0)</f>
        <v>44651</v>
      </c>
      <c r="J220" s="32"/>
    </row>
    <row r="221" spans="2:10" x14ac:dyDescent="0.35">
      <c r="B221" s="32"/>
      <c r="C221" s="25"/>
      <c r="D221" s="25"/>
      <c r="E221" s="25"/>
      <c r="F221" s="32"/>
      <c r="G221" s="30">
        <v>1095</v>
      </c>
      <c r="H221" s="32"/>
      <c r="I221" s="26">
        <f>EOMONTH('Raw Data'!N219, 0)</f>
        <v>44620</v>
      </c>
      <c r="J221" s="32"/>
    </row>
    <row r="222" spans="2:10" x14ac:dyDescent="0.35">
      <c r="B222" s="32"/>
      <c r="C222" s="25"/>
      <c r="D222" s="25"/>
      <c r="E222" s="25"/>
      <c r="F222" s="32"/>
      <c r="G222" s="30">
        <v>885</v>
      </c>
      <c r="H222" s="32"/>
      <c r="I222" s="26">
        <f>EOMONTH('Raw Data'!N220, 0)</f>
        <v>44834</v>
      </c>
      <c r="J222" s="32"/>
    </row>
    <row r="223" spans="2:10" x14ac:dyDescent="0.35">
      <c r="B223" s="32"/>
      <c r="C223" s="25"/>
      <c r="D223" s="25"/>
      <c r="E223" s="25"/>
      <c r="F223" s="32"/>
      <c r="G223" s="30">
        <v>568</v>
      </c>
      <c r="H223" s="32"/>
      <c r="I223" s="26">
        <f>EOMONTH('Raw Data'!N221, 0)</f>
        <v>45169</v>
      </c>
      <c r="J223" s="32"/>
    </row>
    <row r="224" spans="2:10" x14ac:dyDescent="0.35">
      <c r="B224" s="32"/>
      <c r="C224" s="25"/>
      <c r="D224" s="25"/>
      <c r="E224" s="25"/>
      <c r="F224" s="32"/>
      <c r="G224" s="30">
        <v>776</v>
      </c>
      <c r="H224" s="32"/>
      <c r="I224" s="26">
        <f>EOMONTH('Raw Data'!N222, 0)</f>
        <v>44957</v>
      </c>
      <c r="J224" s="32"/>
    </row>
    <row r="225" spans="2:10" x14ac:dyDescent="0.35">
      <c r="B225" s="32"/>
      <c r="C225" s="25"/>
      <c r="D225" s="25"/>
      <c r="E225" s="25"/>
      <c r="F225" s="32"/>
      <c r="G225" s="30">
        <v>1128</v>
      </c>
      <c r="H225" s="32"/>
      <c r="I225" s="26">
        <f>EOMONTH('Raw Data'!N223, 0)</f>
        <v>44592</v>
      </c>
      <c r="J225" s="32"/>
    </row>
    <row r="226" spans="2:10" x14ac:dyDescent="0.35">
      <c r="B226" s="32"/>
      <c r="C226" s="25"/>
      <c r="D226" s="25"/>
      <c r="E226" s="25"/>
      <c r="F226" s="32"/>
      <c r="G226" s="30">
        <v>1299</v>
      </c>
      <c r="H226" s="32"/>
      <c r="I226" s="26">
        <f>EOMONTH('Raw Data'!N224, 0)</f>
        <v>44439</v>
      </c>
      <c r="J226" s="32"/>
    </row>
    <row r="227" spans="2:10" x14ac:dyDescent="0.35">
      <c r="B227" s="32"/>
      <c r="C227" s="25"/>
      <c r="D227" s="25"/>
      <c r="E227" s="25"/>
      <c r="F227" s="32"/>
      <c r="G227" s="30">
        <v>571</v>
      </c>
      <c r="H227" s="32"/>
      <c r="I227" s="26">
        <f>EOMONTH('Raw Data'!N225, 0)</f>
        <v>45169</v>
      </c>
      <c r="J227" s="32"/>
    </row>
    <row r="228" spans="2:10" x14ac:dyDescent="0.35">
      <c r="B228" s="32"/>
      <c r="C228" s="25"/>
      <c r="D228" s="25"/>
      <c r="E228" s="25"/>
      <c r="F228" s="32"/>
      <c r="G228" s="30">
        <v>1139</v>
      </c>
      <c r="H228" s="32"/>
      <c r="I228" s="26">
        <f>EOMONTH('Raw Data'!N226, 0)</f>
        <v>44592</v>
      </c>
      <c r="J228" s="32"/>
    </row>
    <row r="229" spans="2:10" x14ac:dyDescent="0.35">
      <c r="B229" s="32"/>
      <c r="C229" s="25"/>
      <c r="D229" s="25"/>
      <c r="E229" s="25"/>
      <c r="F229" s="32"/>
      <c r="G229" s="30">
        <v>645</v>
      </c>
      <c r="H229" s="32"/>
      <c r="I229" s="26">
        <f>EOMONTH('Raw Data'!N227, 0)</f>
        <v>45077</v>
      </c>
      <c r="J229" s="32"/>
    </row>
    <row r="230" spans="2:10" x14ac:dyDescent="0.35">
      <c r="B230" s="32"/>
      <c r="C230" s="25"/>
      <c r="D230" s="25"/>
      <c r="E230" s="25"/>
      <c r="F230" s="32"/>
      <c r="G230" s="30">
        <v>1139</v>
      </c>
      <c r="H230" s="32"/>
      <c r="I230" s="26">
        <f>EOMONTH('Raw Data'!N228, 0)</f>
        <v>44592</v>
      </c>
      <c r="J230" s="32"/>
    </row>
    <row r="231" spans="2:10" x14ac:dyDescent="0.35">
      <c r="B231" s="32"/>
      <c r="C231" s="25"/>
      <c r="D231" s="25"/>
      <c r="E231" s="25"/>
      <c r="F231" s="32"/>
      <c r="G231" s="30">
        <v>650</v>
      </c>
      <c r="H231" s="32"/>
      <c r="I231" s="26">
        <f>EOMONTH('Raw Data'!N229, 0)</f>
        <v>45077</v>
      </c>
      <c r="J231" s="32"/>
    </row>
    <row r="232" spans="2:10" x14ac:dyDescent="0.35">
      <c r="B232" s="32"/>
      <c r="C232" s="25"/>
      <c r="D232" s="25"/>
      <c r="E232" s="25"/>
      <c r="F232" s="32"/>
      <c r="G232" s="30">
        <v>559</v>
      </c>
      <c r="H232" s="32"/>
      <c r="I232" s="26">
        <f>EOMONTH('Raw Data'!N230, 0)</f>
        <v>45169</v>
      </c>
      <c r="J232" s="32"/>
    </row>
    <row r="233" spans="2:10" x14ac:dyDescent="0.35">
      <c r="B233" s="32"/>
      <c r="C233" s="25"/>
      <c r="D233" s="25"/>
      <c r="E233" s="25"/>
      <c r="F233" s="32"/>
      <c r="G233" s="30">
        <v>430</v>
      </c>
      <c r="H233" s="32"/>
      <c r="I233" s="26">
        <f>EOMONTH('Raw Data'!N231, 0)</f>
        <v>45291</v>
      </c>
      <c r="J233" s="32"/>
    </row>
    <row r="234" spans="2:10" x14ac:dyDescent="0.35">
      <c r="B234" s="32"/>
      <c r="C234" s="25"/>
      <c r="D234" s="25"/>
      <c r="E234" s="25"/>
      <c r="F234" s="32"/>
      <c r="G234" s="30">
        <v>428</v>
      </c>
      <c r="H234" s="32"/>
      <c r="I234" s="26">
        <f>EOMONTH('Raw Data'!N232, 0)</f>
        <v>45322</v>
      </c>
      <c r="J234" s="32"/>
    </row>
    <row r="235" spans="2:10" x14ac:dyDescent="0.35">
      <c r="B235" s="32"/>
      <c r="C235" s="25"/>
      <c r="D235" s="25"/>
      <c r="E235" s="25"/>
      <c r="F235" s="32"/>
      <c r="G235" s="30">
        <v>1183</v>
      </c>
      <c r="H235" s="32"/>
      <c r="I235" s="26">
        <f>EOMONTH('Raw Data'!N233, 0)</f>
        <v>44561</v>
      </c>
      <c r="J235" s="32"/>
    </row>
    <row r="236" spans="2:10" x14ac:dyDescent="0.35">
      <c r="B236" s="32"/>
      <c r="C236" s="25"/>
      <c r="D236" s="25"/>
      <c r="E236" s="25"/>
      <c r="F236" s="32"/>
      <c r="G236" s="30">
        <v>1092</v>
      </c>
      <c r="H236" s="32"/>
      <c r="I236" s="26">
        <f>EOMONTH('Raw Data'!N234, 0)</f>
        <v>44651</v>
      </c>
      <c r="J236" s="32"/>
    </row>
    <row r="237" spans="2:10" x14ac:dyDescent="0.35">
      <c r="B237" s="32"/>
      <c r="C237" s="25"/>
      <c r="D237" s="25"/>
      <c r="E237" s="25"/>
      <c r="F237" s="32"/>
      <c r="G237" s="30">
        <v>335</v>
      </c>
      <c r="H237" s="32"/>
      <c r="I237" s="26">
        <f>EOMONTH('Raw Data'!N235, 0)</f>
        <v>45412</v>
      </c>
      <c r="J237" s="32"/>
    </row>
    <row r="238" spans="2:10" x14ac:dyDescent="0.35">
      <c r="B238" s="32"/>
      <c r="C238" s="25"/>
      <c r="D238" s="25"/>
      <c r="E238" s="25"/>
      <c r="F238" s="32"/>
      <c r="G238" s="30">
        <v>461</v>
      </c>
      <c r="H238" s="32"/>
      <c r="I238" s="26">
        <f>EOMONTH('Raw Data'!N236, 0)</f>
        <v>45291</v>
      </c>
      <c r="J238" s="32"/>
    </row>
    <row r="239" spans="2:10" x14ac:dyDescent="0.35">
      <c r="B239" s="32"/>
      <c r="C239" s="25"/>
      <c r="D239" s="25"/>
      <c r="E239" s="25"/>
      <c r="F239" s="32"/>
      <c r="G239" s="30">
        <v>609</v>
      </c>
      <c r="H239" s="32"/>
      <c r="I239" s="26">
        <f>EOMONTH('Raw Data'!N237, 0)</f>
        <v>45138</v>
      </c>
      <c r="J239" s="32"/>
    </row>
    <row r="240" spans="2:10" x14ac:dyDescent="0.35">
      <c r="B240" s="32"/>
      <c r="C240" s="25"/>
      <c r="D240" s="25"/>
      <c r="E240" s="25"/>
      <c r="F240" s="32"/>
      <c r="G240" s="30">
        <v>541</v>
      </c>
      <c r="H240" s="32"/>
      <c r="I240" s="26">
        <f>EOMONTH('Raw Data'!N238, 0)</f>
        <v>45199</v>
      </c>
      <c r="J240" s="32"/>
    </row>
    <row r="241" spans="2:10" x14ac:dyDescent="0.35">
      <c r="B241" s="32"/>
      <c r="C241" s="25"/>
      <c r="D241" s="25"/>
      <c r="E241" s="25"/>
      <c r="F241" s="32"/>
      <c r="G241" s="30">
        <v>504</v>
      </c>
      <c r="H241" s="32"/>
      <c r="I241" s="26">
        <f>EOMONTH('Raw Data'!N239, 0)</f>
        <v>45260</v>
      </c>
      <c r="J241" s="32"/>
    </row>
    <row r="242" spans="2:10" x14ac:dyDescent="0.35">
      <c r="B242" s="32"/>
      <c r="C242" s="25"/>
      <c r="D242" s="25"/>
      <c r="E242" s="25"/>
      <c r="F242" s="32"/>
      <c r="G242" s="30">
        <v>861</v>
      </c>
      <c r="H242" s="32"/>
      <c r="I242" s="26">
        <f>EOMONTH('Raw Data'!N240, 0)</f>
        <v>44895</v>
      </c>
      <c r="J242" s="32"/>
    </row>
    <row r="243" spans="2:10" x14ac:dyDescent="0.35">
      <c r="B243" s="32"/>
      <c r="C243" s="25"/>
      <c r="D243" s="25"/>
      <c r="E243" s="25"/>
      <c r="F243" s="32"/>
      <c r="G243" s="30">
        <v>762</v>
      </c>
      <c r="H243" s="32"/>
      <c r="I243" s="26">
        <f>EOMONTH('Raw Data'!N241, 0)</f>
        <v>44985</v>
      </c>
      <c r="J243" s="32"/>
    </row>
    <row r="244" spans="2:10" x14ac:dyDescent="0.35">
      <c r="B244" s="32"/>
      <c r="C244" s="25"/>
      <c r="D244" s="25"/>
      <c r="E244" s="25"/>
      <c r="F244" s="32"/>
      <c r="G244" s="30">
        <v>505</v>
      </c>
      <c r="H244" s="32"/>
      <c r="I244" s="26">
        <f>EOMONTH('Raw Data'!N242, 0)</f>
        <v>45260</v>
      </c>
      <c r="J244" s="32"/>
    </row>
    <row r="245" spans="2:10" x14ac:dyDescent="0.35">
      <c r="B245" s="32"/>
      <c r="C245" s="25"/>
      <c r="D245" s="25"/>
      <c r="E245" s="25"/>
      <c r="F245" s="32"/>
      <c r="G245" s="30">
        <v>1180</v>
      </c>
      <c r="H245" s="32"/>
      <c r="I245" s="26">
        <f>EOMONTH('Raw Data'!N243, 0)</f>
        <v>44561</v>
      </c>
      <c r="J245" s="32"/>
    </row>
    <row r="246" spans="2:10" x14ac:dyDescent="0.35">
      <c r="B246" s="32"/>
      <c r="C246" s="25"/>
      <c r="D246" s="25"/>
      <c r="E246" s="25"/>
      <c r="F246" s="32"/>
      <c r="G246" s="30">
        <v>455</v>
      </c>
      <c r="H246" s="32"/>
      <c r="I246" s="26">
        <f>EOMONTH('Raw Data'!N244, 0)</f>
        <v>45291</v>
      </c>
      <c r="J246" s="32"/>
    </row>
    <row r="247" spans="2:10" x14ac:dyDescent="0.35">
      <c r="B247" s="32"/>
      <c r="C247" s="25"/>
      <c r="D247" s="25"/>
      <c r="E247" s="25"/>
      <c r="F247" s="32"/>
      <c r="G247" s="30">
        <v>1041</v>
      </c>
      <c r="H247" s="32"/>
      <c r="I247" s="26">
        <f>EOMONTH('Raw Data'!N245, 0)</f>
        <v>44712</v>
      </c>
      <c r="J247" s="32"/>
    </row>
    <row r="248" spans="2:10" x14ac:dyDescent="0.35">
      <c r="B248" s="32"/>
      <c r="C248" s="25"/>
      <c r="D248" s="25"/>
      <c r="E248" s="25"/>
      <c r="F248" s="32"/>
      <c r="G248" s="30">
        <v>575</v>
      </c>
      <c r="H248" s="32"/>
      <c r="I248" s="26">
        <f>EOMONTH('Raw Data'!N246, 0)</f>
        <v>45199</v>
      </c>
      <c r="J248" s="32"/>
    </row>
    <row r="249" spans="2:10" x14ac:dyDescent="0.35">
      <c r="B249" s="32"/>
      <c r="C249" s="25"/>
      <c r="D249" s="25"/>
      <c r="E249" s="25"/>
      <c r="F249" s="32"/>
      <c r="G249" s="30">
        <v>1224</v>
      </c>
      <c r="H249" s="32"/>
      <c r="I249" s="26">
        <f>EOMONTH('Raw Data'!N247, 0)</f>
        <v>44530</v>
      </c>
      <c r="J249" s="32"/>
    </row>
    <row r="250" spans="2:10" x14ac:dyDescent="0.35">
      <c r="B250" s="32"/>
      <c r="C250" s="25"/>
      <c r="D250" s="25"/>
      <c r="E250" s="25"/>
      <c r="F250" s="32"/>
      <c r="G250" s="30">
        <v>1130</v>
      </c>
      <c r="H250" s="32"/>
      <c r="I250" s="26">
        <f>EOMONTH('Raw Data'!N248, 0)</f>
        <v>44620</v>
      </c>
      <c r="J250" s="32"/>
    </row>
    <row r="251" spans="2:10" x14ac:dyDescent="0.35">
      <c r="B251" s="32"/>
      <c r="C251" s="25"/>
      <c r="D251" s="25"/>
      <c r="E251" s="25"/>
      <c r="F251" s="32"/>
      <c r="G251" s="30">
        <v>796</v>
      </c>
      <c r="H251" s="32"/>
      <c r="I251" s="26">
        <f>EOMONTH('Raw Data'!N249, 0)</f>
        <v>44957</v>
      </c>
      <c r="J251" s="32"/>
    </row>
    <row r="252" spans="2:10" x14ac:dyDescent="0.35">
      <c r="B252" s="32"/>
      <c r="C252" s="25"/>
      <c r="D252" s="25"/>
      <c r="E252" s="25"/>
      <c r="F252" s="32"/>
      <c r="G252" s="30">
        <v>1244</v>
      </c>
      <c r="H252" s="32"/>
      <c r="I252" s="26">
        <f>EOMONTH('Raw Data'!N250, 0)</f>
        <v>44530</v>
      </c>
      <c r="J252" s="32"/>
    </row>
    <row r="253" spans="2:10" x14ac:dyDescent="0.35">
      <c r="B253" s="32"/>
      <c r="C253" s="25"/>
      <c r="D253" s="25"/>
      <c r="E253" s="25"/>
      <c r="F253" s="32"/>
      <c r="G253" s="30">
        <v>410</v>
      </c>
      <c r="H253" s="32"/>
      <c r="I253" s="26">
        <f>EOMONTH('Raw Data'!N251, 0)</f>
        <v>45351</v>
      </c>
      <c r="J253" s="32"/>
    </row>
    <row r="254" spans="2:10" x14ac:dyDescent="0.35">
      <c r="B254" s="32"/>
      <c r="C254" s="25"/>
      <c r="D254" s="25"/>
      <c r="E254" s="25"/>
      <c r="F254" s="32"/>
      <c r="G254" s="30">
        <v>849</v>
      </c>
      <c r="H254" s="32"/>
      <c r="I254" s="26">
        <f>EOMONTH('Raw Data'!N252, 0)</f>
        <v>44926</v>
      </c>
      <c r="J254" s="32"/>
    </row>
    <row r="255" spans="2:10" x14ac:dyDescent="0.35">
      <c r="B255" s="32"/>
      <c r="C255" s="25"/>
      <c r="D255" s="25"/>
      <c r="E255" s="25"/>
      <c r="F255" s="32"/>
      <c r="G255" s="30">
        <v>670</v>
      </c>
      <c r="H255" s="32"/>
      <c r="I255" s="26">
        <f>EOMONTH('Raw Data'!N253, 0)</f>
        <v>45107</v>
      </c>
      <c r="J255" s="32"/>
    </row>
    <row r="256" spans="2:10" x14ac:dyDescent="0.35">
      <c r="B256" s="32"/>
      <c r="C256" s="25"/>
      <c r="D256" s="25"/>
      <c r="E256" s="25"/>
      <c r="F256" s="32"/>
      <c r="G256" s="30">
        <v>880</v>
      </c>
      <c r="H256" s="32"/>
      <c r="I256" s="26">
        <f>EOMONTH('Raw Data'!N254, 0)</f>
        <v>44895</v>
      </c>
      <c r="J256" s="32"/>
    </row>
    <row r="261" spans="2:33" ht="14.4" customHeight="1" x14ac:dyDescent="0.35">
      <c r="B261" s="99" t="s">
        <v>433</v>
      </c>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c r="AA261" s="99"/>
      <c r="AB261" s="99"/>
      <c r="AC261" s="99"/>
      <c r="AD261" s="99"/>
      <c r="AE261" s="99"/>
      <c r="AF261" s="99"/>
      <c r="AG261" s="99"/>
    </row>
    <row r="262" spans="2:33" x14ac:dyDescent="0.35">
      <c r="B262" s="100"/>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c r="AA262" s="100"/>
      <c r="AB262" s="100"/>
      <c r="AC262" s="100"/>
      <c r="AD262" s="100"/>
      <c r="AE262" s="100"/>
      <c r="AF262" s="100"/>
      <c r="AG262" s="100"/>
    </row>
    <row r="263" spans="2:33" x14ac:dyDescent="0.35">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c r="AA263" s="107"/>
      <c r="AB263" s="107"/>
      <c r="AC263" s="107"/>
      <c r="AD263" s="107"/>
      <c r="AE263" s="107"/>
      <c r="AF263" s="107"/>
      <c r="AG263" s="107"/>
    </row>
    <row r="264" spans="2:33" ht="17" x14ac:dyDescent="0.5">
      <c r="B264" s="9"/>
      <c r="C264" s="109" t="s">
        <v>487</v>
      </c>
      <c r="D264" s="110"/>
      <c r="E264" s="110"/>
      <c r="F264" s="110"/>
      <c r="G264" s="110"/>
      <c r="H264" s="110"/>
      <c r="I264" s="110"/>
      <c r="J264" s="110"/>
      <c r="K264" s="110"/>
      <c r="L264" s="110"/>
      <c r="M264" s="110"/>
      <c r="N264" s="110"/>
      <c r="O264" s="110"/>
      <c r="P264" s="111"/>
      <c r="Q264" s="9"/>
      <c r="R264" s="9"/>
      <c r="S264" s="108" t="s">
        <v>432</v>
      </c>
      <c r="T264" s="108"/>
      <c r="U264" s="108"/>
      <c r="V264" s="108"/>
      <c r="W264" s="108"/>
      <c r="X264" s="108"/>
      <c r="Y264" s="108"/>
      <c r="Z264" s="108"/>
      <c r="AA264" s="108"/>
      <c r="AB264" s="108"/>
      <c r="AC264" s="108"/>
      <c r="AD264" s="108"/>
      <c r="AE264" s="108"/>
      <c r="AF264" s="108"/>
      <c r="AG264" s="9"/>
    </row>
    <row r="265" spans="2:33" x14ac:dyDescent="0.35">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c r="AA265" s="107"/>
      <c r="AB265" s="107"/>
      <c r="AC265" s="107"/>
      <c r="AD265" s="107"/>
      <c r="AE265" s="107"/>
      <c r="AF265" s="107"/>
      <c r="AG265" s="107"/>
    </row>
    <row r="266" spans="2:33" x14ac:dyDescent="0.35">
      <c r="C266" s="33" t="str" cm="1">
        <f t="array" ref="C266:O287">_xlfn._xlws.FILTER(Table2[[Transaction_ID]:[Customer_Since]], (Table2[Category] = "Electronics") * (Table2[Region] = "West"))</f>
        <v>TRX0191</v>
      </c>
      <c r="D266" s="33">
        <v>45409</v>
      </c>
      <c r="E266" s="33" t="str">
        <v>CUST038</v>
      </c>
      <c r="F266" s="33" t="str">
        <v>Michelle Rogers</v>
      </c>
      <c r="G266" s="33" t="str">
        <v>P002</v>
      </c>
      <c r="H266" s="33" t="str">
        <v>Smartphone</v>
      </c>
      <c r="I266" s="33" t="str">
        <v>Electronics</v>
      </c>
      <c r="J266" s="33">
        <v>3</v>
      </c>
      <c r="K266" s="33">
        <v>699.99</v>
      </c>
      <c r="L266" s="33" t="str">
        <v>Credit Card</v>
      </c>
      <c r="M266" s="33" t="str">
        <v>West</v>
      </c>
      <c r="N266" s="33" t="str">
        <v>Basic</v>
      </c>
      <c r="O266" s="33">
        <v>44577</v>
      </c>
      <c r="P266" s="54"/>
      <c r="Q266" s="29"/>
      <c r="R266" s="29"/>
      <c r="S266" s="33" t="str" cm="1">
        <f t="array" ref="S266:AF360">_xlfn._xlws.FILTER(Table2[[Transaction_ID]:[Total_Amount]], Table2[Customer_Segment] = "Premium")</f>
        <v>TRX0023</v>
      </c>
      <c r="T266" s="33">
        <v>45396</v>
      </c>
      <c r="U266" s="33" t="str">
        <v>CUST013</v>
      </c>
      <c r="V266" s="33" t="str">
        <v>Joseph Jackson</v>
      </c>
      <c r="W266" s="33" t="str">
        <v>P009</v>
      </c>
      <c r="X266" s="33" t="str">
        <v>Monitor</v>
      </c>
      <c r="Y266" s="33" t="str">
        <v>Electronics</v>
      </c>
      <c r="Z266" s="33">
        <v>3</v>
      </c>
      <c r="AA266" s="33">
        <v>249.99</v>
      </c>
      <c r="AB266" s="33" t="str">
        <v>Credit Card</v>
      </c>
      <c r="AC266" s="33" t="str">
        <v>Central</v>
      </c>
      <c r="AD266" s="33" t="str">
        <v>Premium</v>
      </c>
      <c r="AE266" s="33">
        <v>44575</v>
      </c>
      <c r="AF266" s="33">
        <v>749.97</v>
      </c>
    </row>
    <row r="267" spans="2:33" x14ac:dyDescent="0.35">
      <c r="C267" s="30" t="str">
        <v>TRX0122</v>
      </c>
      <c r="D267" s="30">
        <v>45410</v>
      </c>
      <c r="E267" s="30" t="str">
        <v>CUST025</v>
      </c>
      <c r="F267" s="30" t="str">
        <v>Mark Carter</v>
      </c>
      <c r="G267" s="30" t="str">
        <v>P001</v>
      </c>
      <c r="H267" s="30" t="str">
        <v>Laptop</v>
      </c>
      <c r="I267" s="30" t="str">
        <v>Electronics</v>
      </c>
      <c r="J267" s="30">
        <v>4</v>
      </c>
      <c r="K267" s="30">
        <v>899.99</v>
      </c>
      <c r="L267" s="30" t="str">
        <v>Credit Card</v>
      </c>
      <c r="M267" s="30" t="str">
        <v>West</v>
      </c>
      <c r="N267" s="30" t="str">
        <v>Standard</v>
      </c>
      <c r="O267" s="30">
        <v>45327</v>
      </c>
      <c r="P267" s="72"/>
      <c r="Q267" s="29"/>
      <c r="R267" s="29"/>
      <c r="S267" s="30" t="str">
        <v>TRX0043</v>
      </c>
      <c r="T267" s="30">
        <v>45400</v>
      </c>
      <c r="U267" s="30" t="str">
        <v>CUST046</v>
      </c>
      <c r="V267" s="30" t="str">
        <v>Kathleen Bennett</v>
      </c>
      <c r="W267" s="30" t="str">
        <v>P005</v>
      </c>
      <c r="X267" s="30" t="str">
        <v>Blender</v>
      </c>
      <c r="Y267" s="30" t="str">
        <v>Appliances</v>
      </c>
      <c r="Z267" s="30">
        <v>3</v>
      </c>
      <c r="AA267" s="30">
        <v>59.99</v>
      </c>
      <c r="AB267" s="30" t="str">
        <v>Cash</v>
      </c>
      <c r="AC267" s="30" t="str">
        <v>North</v>
      </c>
      <c r="AD267" s="30" t="str">
        <v>Premium</v>
      </c>
      <c r="AE267" s="30">
        <v>45114</v>
      </c>
      <c r="AF267" s="30">
        <v>179.97</v>
      </c>
    </row>
    <row r="268" spans="2:33" x14ac:dyDescent="0.35">
      <c r="C268" s="30" t="str">
        <v>TRX0231</v>
      </c>
      <c r="D268" s="30">
        <v>45412</v>
      </c>
      <c r="E268" s="30" t="str">
        <v>CUST018</v>
      </c>
      <c r="F268" s="30" t="str">
        <v>Barbara Young</v>
      </c>
      <c r="G268" s="30" t="str">
        <v>P002</v>
      </c>
      <c r="H268" s="30" t="str">
        <v>Smartphone</v>
      </c>
      <c r="I268" s="30" t="str">
        <v>Electronics</v>
      </c>
      <c r="J268" s="30">
        <v>5</v>
      </c>
      <c r="K268" s="30">
        <v>699.99</v>
      </c>
      <c r="L268" s="30" t="str">
        <v>Cash</v>
      </c>
      <c r="M268" s="30" t="str">
        <v>West</v>
      </c>
      <c r="N268" s="30" t="str">
        <v>Basic</v>
      </c>
      <c r="O268" s="30">
        <v>45167</v>
      </c>
      <c r="P268" s="72"/>
      <c r="Q268" s="29"/>
      <c r="R268" s="29"/>
      <c r="S268" s="30" t="str">
        <v>TRX0212</v>
      </c>
      <c r="T268" s="30">
        <v>45400</v>
      </c>
      <c r="U268" s="30" t="str">
        <v>CUST003</v>
      </c>
      <c r="V268" s="30" t="str">
        <v>Michael Brown</v>
      </c>
      <c r="W268" s="30" t="str">
        <v>P008</v>
      </c>
      <c r="X268" s="30" t="str">
        <v>Bookshelf</v>
      </c>
      <c r="Y268" s="30" t="str">
        <v>Furniture</v>
      </c>
      <c r="Z268" s="30">
        <v>5</v>
      </c>
      <c r="AA268" s="30">
        <v>149.99</v>
      </c>
      <c r="AB268" s="30" t="str">
        <v>Credit Card</v>
      </c>
      <c r="AC268" s="30" t="str">
        <v>North</v>
      </c>
      <c r="AD268" s="30" t="str">
        <v>Premium</v>
      </c>
      <c r="AE268" s="30">
        <v>45295</v>
      </c>
      <c r="AF268" s="30">
        <v>749.95</v>
      </c>
    </row>
    <row r="269" spans="2:33" x14ac:dyDescent="0.35">
      <c r="C269" s="30" t="str">
        <v>TRX0071</v>
      </c>
      <c r="D269" s="30">
        <v>45422</v>
      </c>
      <c r="E269" s="30" t="str">
        <v>CUST036</v>
      </c>
      <c r="F269" s="30" t="str">
        <v>Nancy Collins</v>
      </c>
      <c r="G269" s="30" t="str">
        <v>P009</v>
      </c>
      <c r="H269" s="30" t="str">
        <v>Monitor</v>
      </c>
      <c r="I269" s="30" t="str">
        <v>Electronics</v>
      </c>
      <c r="J269" s="30">
        <v>5</v>
      </c>
      <c r="K269" s="30">
        <v>249.99</v>
      </c>
      <c r="L269" s="30" t="str">
        <v>Credit Card</v>
      </c>
      <c r="M269" s="30" t="str">
        <v>West</v>
      </c>
      <c r="N269" s="30" t="str">
        <v>Standard</v>
      </c>
      <c r="O269" s="30">
        <v>44525</v>
      </c>
      <c r="P269" s="72"/>
      <c r="Q269" s="29"/>
      <c r="R269" s="29"/>
      <c r="S269" s="30" t="str">
        <v>TRX0185</v>
      </c>
      <c r="T269" s="30">
        <v>45408</v>
      </c>
      <c r="U269" s="30" t="str">
        <v>CUST026</v>
      </c>
      <c r="V269" s="30" t="str">
        <v>Karen Hill</v>
      </c>
      <c r="W269" s="30" t="str">
        <v>P005</v>
      </c>
      <c r="X269" s="30" t="str">
        <v>Blender</v>
      </c>
      <c r="Y269" s="30" t="str">
        <v>Appliances</v>
      </c>
      <c r="Z269" s="30">
        <v>3</v>
      </c>
      <c r="AA269" s="30">
        <v>59.99</v>
      </c>
      <c r="AB269" s="30" t="str">
        <v>Cash</v>
      </c>
      <c r="AC269" s="30" t="str">
        <v>West</v>
      </c>
      <c r="AD269" s="30" t="str">
        <v>Premium</v>
      </c>
      <c r="AE269" s="30">
        <v>45207</v>
      </c>
      <c r="AF269" s="30">
        <v>179.97</v>
      </c>
    </row>
    <row r="270" spans="2:33" x14ac:dyDescent="0.35">
      <c r="C270" s="30" t="str">
        <v>TRX0041</v>
      </c>
      <c r="D270" s="30">
        <v>45432</v>
      </c>
      <c r="E270" s="30" t="str">
        <v>CUST021</v>
      </c>
      <c r="F270" s="30" t="str">
        <v>Kevin Scott</v>
      </c>
      <c r="G270" s="30" t="str">
        <v>P001</v>
      </c>
      <c r="H270" s="30" t="str">
        <v>Laptop</v>
      </c>
      <c r="I270" s="30" t="str">
        <v>Electronics</v>
      </c>
      <c r="J270" s="30">
        <v>1</v>
      </c>
      <c r="K270" s="30">
        <v>899.99</v>
      </c>
      <c r="L270" s="30" t="str">
        <v>Credit Card</v>
      </c>
      <c r="M270" s="30" t="str">
        <v>West</v>
      </c>
      <c r="N270" s="30" t="str">
        <v>Premium</v>
      </c>
      <c r="O270" s="30">
        <v>44578</v>
      </c>
      <c r="P270" s="72"/>
      <c r="Q270" s="29"/>
      <c r="R270" s="29"/>
      <c r="S270" s="30" t="str">
        <v>TRX0246</v>
      </c>
      <c r="T270" s="30">
        <v>45408</v>
      </c>
      <c r="U270" s="30" t="str">
        <v>CUST041</v>
      </c>
      <c r="V270" s="30" t="str">
        <v>Peter Richardson</v>
      </c>
      <c r="W270" s="30" t="str">
        <v>P008</v>
      </c>
      <c r="X270" s="30" t="str">
        <v>Bookshelf</v>
      </c>
      <c r="Y270" s="30" t="str">
        <v>Furniture</v>
      </c>
      <c r="Z270" s="30">
        <v>3</v>
      </c>
      <c r="AA270" s="30">
        <v>149.99</v>
      </c>
      <c r="AB270" s="30" t="str">
        <v>Cash</v>
      </c>
      <c r="AC270" s="30" t="str">
        <v>North</v>
      </c>
      <c r="AD270" s="30" t="str">
        <v>Premium</v>
      </c>
      <c r="AE270" s="30">
        <v>44806</v>
      </c>
      <c r="AF270" s="30">
        <v>449.97</v>
      </c>
    </row>
    <row r="271" spans="2:33" x14ac:dyDescent="0.35">
      <c r="C271" s="30" t="str">
        <v>TRX0015</v>
      </c>
      <c r="D271" s="30">
        <v>45440</v>
      </c>
      <c r="E271" s="30" t="str">
        <v>CUST008</v>
      </c>
      <c r="F271" s="30" t="str">
        <v>Jennifer Taylor</v>
      </c>
      <c r="G271" s="30" t="str">
        <v>P002</v>
      </c>
      <c r="H271" s="30" t="str">
        <v>Smartphone</v>
      </c>
      <c r="I271" s="30" t="str">
        <v>Electronics</v>
      </c>
      <c r="J271" s="30">
        <v>5</v>
      </c>
      <c r="K271" s="30">
        <v>699.99</v>
      </c>
      <c r="L271" s="30" t="str">
        <v>PayPal</v>
      </c>
      <c r="M271" s="30" t="str">
        <v>West</v>
      </c>
      <c r="N271" s="30" t="str">
        <v>Standard</v>
      </c>
      <c r="O271" s="30">
        <v>44407</v>
      </c>
      <c r="P271" s="72"/>
      <c r="Q271" s="29"/>
      <c r="R271" s="29"/>
      <c r="S271" s="30" t="str">
        <v>TRX0049</v>
      </c>
      <c r="T271" s="30">
        <v>45410</v>
      </c>
      <c r="U271" s="30" t="str">
        <v>CUST025</v>
      </c>
      <c r="V271" s="30" t="str">
        <v>Mark Carter</v>
      </c>
      <c r="W271" s="30" t="str">
        <v>P008</v>
      </c>
      <c r="X271" s="30" t="str">
        <v>Bookshelf</v>
      </c>
      <c r="Y271" s="30" t="str">
        <v>Furniture</v>
      </c>
      <c r="Z271" s="30">
        <v>4</v>
      </c>
      <c r="AA271" s="30">
        <v>149.99</v>
      </c>
      <c r="AB271" s="30" t="str">
        <v>Debit Card</v>
      </c>
      <c r="AC271" s="30" t="str">
        <v>North</v>
      </c>
      <c r="AD271" s="30" t="str">
        <v>Premium</v>
      </c>
      <c r="AE271" s="30">
        <v>45374</v>
      </c>
      <c r="AF271" s="30">
        <v>599.96</v>
      </c>
    </row>
    <row r="272" spans="2:33" x14ac:dyDescent="0.35">
      <c r="C272" s="30" t="str">
        <v>TRX0007</v>
      </c>
      <c r="D272" s="30">
        <v>45469</v>
      </c>
      <c r="E272" s="30" t="str">
        <v>CUST009</v>
      </c>
      <c r="F272" s="30" t="str">
        <v>Robert Thomas</v>
      </c>
      <c r="G272" s="30" t="str">
        <v>P010</v>
      </c>
      <c r="H272" s="30" t="str">
        <v>Keyboard</v>
      </c>
      <c r="I272" s="30" t="str">
        <v>Electronics</v>
      </c>
      <c r="J272" s="30">
        <v>2</v>
      </c>
      <c r="K272" s="30">
        <v>89.99</v>
      </c>
      <c r="L272" s="30" t="str">
        <v>Cash</v>
      </c>
      <c r="M272" s="30" t="str">
        <v>West</v>
      </c>
      <c r="N272" s="30" t="str">
        <v>Basic</v>
      </c>
      <c r="O272" s="30">
        <v>44438</v>
      </c>
      <c r="P272" s="72"/>
      <c r="Q272" s="29"/>
      <c r="R272" s="29"/>
      <c r="S272" s="30" t="str">
        <v>TRX0222</v>
      </c>
      <c r="T272" s="30">
        <v>45410</v>
      </c>
      <c r="U272" s="30" t="str">
        <v>CUST048</v>
      </c>
      <c r="V272" s="30" t="str">
        <v>Virginia Sanders</v>
      </c>
      <c r="W272" s="30" t="str">
        <v>P009</v>
      </c>
      <c r="X272" s="30" t="str">
        <v>Monitor</v>
      </c>
      <c r="Y272" s="30" t="str">
        <v>Electronics</v>
      </c>
      <c r="Z272" s="30">
        <v>3</v>
      </c>
      <c r="AA272" s="30">
        <v>249.99</v>
      </c>
      <c r="AB272" s="30" t="str">
        <v>Credit Card</v>
      </c>
      <c r="AC272" s="30" t="str">
        <v>North</v>
      </c>
      <c r="AD272" s="30" t="str">
        <v>Premium</v>
      </c>
      <c r="AE272" s="30">
        <v>45224</v>
      </c>
      <c r="AF272" s="30">
        <v>749.97</v>
      </c>
    </row>
    <row r="273" spans="3:32" x14ac:dyDescent="0.35">
      <c r="C273" s="30" t="str">
        <v>TRX0192</v>
      </c>
      <c r="D273" s="30">
        <v>45475</v>
      </c>
      <c r="E273" s="30" t="str">
        <v>CUST017</v>
      </c>
      <c r="F273" s="30" t="str">
        <v>Charles Allen</v>
      </c>
      <c r="G273" s="30" t="str">
        <v>P010</v>
      </c>
      <c r="H273" s="30" t="str">
        <v>Keyboard</v>
      </c>
      <c r="I273" s="30" t="str">
        <v>Electronics</v>
      </c>
      <c r="J273" s="30">
        <v>1</v>
      </c>
      <c r="K273" s="30">
        <v>89.99</v>
      </c>
      <c r="L273" s="30" t="str">
        <v>PayPal</v>
      </c>
      <c r="M273" s="30" t="str">
        <v>West</v>
      </c>
      <c r="N273" s="30" t="str">
        <v>Standard</v>
      </c>
      <c r="O273" s="30">
        <v>44802</v>
      </c>
      <c r="P273" s="72"/>
      <c r="Q273" s="29"/>
      <c r="R273" s="29"/>
      <c r="S273" s="30" t="str">
        <v>TRX0242</v>
      </c>
      <c r="T273" s="30">
        <v>45416</v>
      </c>
      <c r="U273" s="30" t="str">
        <v>CUST025</v>
      </c>
      <c r="V273" s="30" t="str">
        <v>Mark Carter</v>
      </c>
      <c r="W273" s="30" t="str">
        <v>P007</v>
      </c>
      <c r="X273" s="30" t="str">
        <v>Desk</v>
      </c>
      <c r="Y273" s="30" t="str">
        <v>Furniture</v>
      </c>
      <c r="Z273" s="30">
        <v>4</v>
      </c>
      <c r="AA273" s="30">
        <v>299.99</v>
      </c>
      <c r="AB273" s="30" t="str">
        <v>Cash</v>
      </c>
      <c r="AC273" s="30" t="str">
        <v>West</v>
      </c>
      <c r="AD273" s="30" t="str">
        <v>Premium</v>
      </c>
      <c r="AE273" s="30">
        <v>44716</v>
      </c>
      <c r="AF273" s="30">
        <v>1199.96</v>
      </c>
    </row>
    <row r="274" spans="3:32" x14ac:dyDescent="0.35">
      <c r="C274" s="30" t="str">
        <v>TRX0170</v>
      </c>
      <c r="D274" s="30">
        <v>45532</v>
      </c>
      <c r="E274" s="30" t="str">
        <v>CUST034</v>
      </c>
      <c r="F274" s="30" t="str">
        <v>Carol Evans</v>
      </c>
      <c r="G274" s="30" t="str">
        <v>P003</v>
      </c>
      <c r="H274" s="30" t="str">
        <v>Headphones</v>
      </c>
      <c r="I274" s="30" t="str">
        <v>Electronics</v>
      </c>
      <c r="J274" s="30">
        <v>3</v>
      </c>
      <c r="K274" s="30">
        <v>149.99</v>
      </c>
      <c r="L274" s="30" t="str">
        <v>Cash</v>
      </c>
      <c r="M274" s="30" t="str">
        <v>West</v>
      </c>
      <c r="N274" s="30" t="str">
        <v>Premium</v>
      </c>
      <c r="O274" s="30">
        <v>45212</v>
      </c>
      <c r="P274" s="72"/>
      <c r="Q274" s="29"/>
      <c r="R274" s="29"/>
      <c r="S274" s="30" t="str">
        <v>TRX0235</v>
      </c>
      <c r="T274" s="30">
        <v>45424</v>
      </c>
      <c r="U274" s="30" t="str">
        <v>CUST014</v>
      </c>
      <c r="V274" s="30" t="str">
        <v>Linda Martin</v>
      </c>
      <c r="W274" s="30" t="str">
        <v>P004</v>
      </c>
      <c r="X274" s="30" t="str">
        <v>Coffee Maker</v>
      </c>
      <c r="Y274" s="30" t="str">
        <v>Appliances</v>
      </c>
      <c r="Z274" s="30">
        <v>3</v>
      </c>
      <c r="AA274" s="30">
        <v>79.989999999999995</v>
      </c>
      <c r="AB274" s="30" t="str">
        <v>PayPal</v>
      </c>
      <c r="AC274" s="30" t="str">
        <v>East</v>
      </c>
      <c r="AD274" s="30" t="str">
        <v>Premium</v>
      </c>
      <c r="AE274" s="30">
        <v>45012</v>
      </c>
      <c r="AF274" s="30">
        <v>239.97</v>
      </c>
    </row>
    <row r="275" spans="3:32" x14ac:dyDescent="0.35">
      <c r="C275" s="30" t="str">
        <v>TRX0099</v>
      </c>
      <c r="D275" s="30">
        <v>45537</v>
      </c>
      <c r="E275" s="30" t="str">
        <v>CUST034</v>
      </c>
      <c r="F275" s="30" t="str">
        <v>Carol Evans</v>
      </c>
      <c r="G275" s="30" t="str">
        <v>P009</v>
      </c>
      <c r="H275" s="30" t="str">
        <v>Monitor</v>
      </c>
      <c r="I275" s="30" t="str">
        <v>Electronics</v>
      </c>
      <c r="J275" s="30">
        <v>1</v>
      </c>
      <c r="K275" s="30">
        <v>249.99</v>
      </c>
      <c r="L275" s="30" t="str">
        <v>Credit Card</v>
      </c>
      <c r="M275" s="30" t="str">
        <v>West</v>
      </c>
      <c r="N275" s="30" t="str">
        <v>Premium</v>
      </c>
      <c r="O275" s="30">
        <v>44685</v>
      </c>
      <c r="P275" s="72"/>
      <c r="Q275" s="29"/>
      <c r="R275" s="29"/>
      <c r="S275" s="30" t="str">
        <v>TRX0004</v>
      </c>
      <c r="T275" s="30">
        <v>45424</v>
      </c>
      <c r="U275" s="30" t="str">
        <v>CUST012</v>
      </c>
      <c r="V275" s="30" t="str">
        <v>Patricia Moore</v>
      </c>
      <c r="W275" s="30" t="str">
        <v>P010</v>
      </c>
      <c r="X275" s="30" t="str">
        <v>Keyboard</v>
      </c>
      <c r="Y275" s="30" t="str">
        <v>Electronics</v>
      </c>
      <c r="Z275" s="30">
        <v>5</v>
      </c>
      <c r="AA275" s="30">
        <v>89.99</v>
      </c>
      <c r="AB275" s="30" t="str">
        <v>Cash</v>
      </c>
      <c r="AC275" s="30" t="str">
        <v>North</v>
      </c>
      <c r="AD275" s="30" t="str">
        <v>Premium</v>
      </c>
      <c r="AE275" s="30">
        <v>44919</v>
      </c>
      <c r="AF275" s="30">
        <v>449.95</v>
      </c>
    </row>
    <row r="276" spans="3:32" x14ac:dyDescent="0.35">
      <c r="C276" s="30" t="str">
        <v>TRX0158</v>
      </c>
      <c r="D276" s="30">
        <v>45579</v>
      </c>
      <c r="E276" s="30" t="str">
        <v>CUST027</v>
      </c>
      <c r="F276" s="30" t="str">
        <v>George Adams</v>
      </c>
      <c r="G276" s="30" t="str">
        <v>P001</v>
      </c>
      <c r="H276" s="30" t="str">
        <v>Laptop</v>
      </c>
      <c r="I276" s="30" t="str">
        <v>Electronics</v>
      </c>
      <c r="J276" s="30">
        <v>3</v>
      </c>
      <c r="K276" s="30">
        <v>899.99</v>
      </c>
      <c r="L276" s="30" t="str">
        <v>PayPal</v>
      </c>
      <c r="M276" s="30" t="str">
        <v>West</v>
      </c>
      <c r="N276" s="30" t="str">
        <v>Basic</v>
      </c>
      <c r="O276" s="30">
        <v>45215</v>
      </c>
      <c r="P276" s="72"/>
      <c r="Q276" s="29"/>
      <c r="R276" s="29"/>
      <c r="S276" s="30" t="str">
        <v>TRX0130</v>
      </c>
      <c r="T276" s="30">
        <v>45430</v>
      </c>
      <c r="U276" s="30" t="str">
        <v>CUST002</v>
      </c>
      <c r="V276" s="30" t="str">
        <v>Emma Wilson</v>
      </c>
      <c r="W276" s="30" t="str">
        <v>P008</v>
      </c>
      <c r="X276" s="30" t="str">
        <v>Bookshelf</v>
      </c>
      <c r="Y276" s="30" t="str">
        <v>Furniture</v>
      </c>
      <c r="Z276" s="30">
        <v>3</v>
      </c>
      <c r="AA276" s="30">
        <v>149.99</v>
      </c>
      <c r="AB276" s="30" t="str">
        <v>Credit Card</v>
      </c>
      <c r="AC276" s="30" t="str">
        <v>West</v>
      </c>
      <c r="AD276" s="30" t="str">
        <v>Premium</v>
      </c>
      <c r="AE276" s="30">
        <v>45068</v>
      </c>
      <c r="AF276" s="30">
        <v>449.97</v>
      </c>
    </row>
    <row r="277" spans="3:32" x14ac:dyDescent="0.35">
      <c r="C277" s="30" t="str">
        <v>TRX0190</v>
      </c>
      <c r="D277" s="30">
        <v>45583</v>
      </c>
      <c r="E277" s="30" t="str">
        <v>CUST039</v>
      </c>
      <c r="F277" s="30" t="str">
        <v>Lawrence Reed</v>
      </c>
      <c r="G277" s="30" t="str">
        <v>P003</v>
      </c>
      <c r="H277" s="30" t="str">
        <v>Headphones</v>
      </c>
      <c r="I277" s="30" t="str">
        <v>Electronics</v>
      </c>
      <c r="J277" s="30">
        <v>2</v>
      </c>
      <c r="K277" s="30">
        <v>149.99</v>
      </c>
      <c r="L277" s="30" t="str">
        <v>Credit Card</v>
      </c>
      <c r="M277" s="30" t="str">
        <v>West</v>
      </c>
      <c r="N277" s="30" t="str">
        <v>Basic</v>
      </c>
      <c r="O277" s="30">
        <v>44916</v>
      </c>
      <c r="P277" s="72"/>
      <c r="Q277" s="29"/>
      <c r="R277" s="29"/>
      <c r="S277" s="30" t="str">
        <v>TRX0041</v>
      </c>
      <c r="T277" s="30">
        <v>45432</v>
      </c>
      <c r="U277" s="30" t="str">
        <v>CUST021</v>
      </c>
      <c r="V277" s="30" t="str">
        <v>Kevin Scott</v>
      </c>
      <c r="W277" s="30" t="str">
        <v>P001</v>
      </c>
      <c r="X277" s="30" t="str">
        <v>Laptop</v>
      </c>
      <c r="Y277" s="30" t="str">
        <v>Electronics</v>
      </c>
      <c r="Z277" s="30">
        <v>1</v>
      </c>
      <c r="AA277" s="30">
        <v>899.99</v>
      </c>
      <c r="AB277" s="30" t="str">
        <v>Credit Card</v>
      </c>
      <c r="AC277" s="30" t="str">
        <v>West</v>
      </c>
      <c r="AD277" s="30" t="str">
        <v>Premium</v>
      </c>
      <c r="AE277" s="30">
        <v>44578</v>
      </c>
      <c r="AF277" s="30">
        <v>899.99</v>
      </c>
    </row>
    <row r="278" spans="3:32" x14ac:dyDescent="0.35">
      <c r="C278" s="30" t="str">
        <v>TRX0076</v>
      </c>
      <c r="D278" s="30">
        <v>45607</v>
      </c>
      <c r="E278" s="30" t="str">
        <v>CUST012</v>
      </c>
      <c r="F278" s="30" t="str">
        <v>Patricia Moore</v>
      </c>
      <c r="G278" s="30" t="str">
        <v>P009</v>
      </c>
      <c r="H278" s="30" t="str">
        <v>Monitor</v>
      </c>
      <c r="I278" s="30" t="str">
        <v>Electronics</v>
      </c>
      <c r="J278" s="30">
        <v>4</v>
      </c>
      <c r="K278" s="30">
        <v>249.99</v>
      </c>
      <c r="L278" s="30" t="str">
        <v>Credit Card</v>
      </c>
      <c r="M278" s="30" t="str">
        <v>West</v>
      </c>
      <c r="N278" s="30" t="str">
        <v>Standard</v>
      </c>
      <c r="O278" s="30">
        <v>44659</v>
      </c>
      <c r="P278" s="72"/>
      <c r="Q278" s="29"/>
      <c r="R278" s="29"/>
      <c r="S278" s="30" t="str">
        <v>TRX0245</v>
      </c>
      <c r="T278" s="30">
        <v>45438</v>
      </c>
      <c r="U278" s="30" t="str">
        <v>CUST031</v>
      </c>
      <c r="V278" s="30" t="str">
        <v>Steven Turner</v>
      </c>
      <c r="W278" s="30" t="str">
        <v>P006</v>
      </c>
      <c r="X278" s="30" t="str">
        <v>Office Chair</v>
      </c>
      <c r="Y278" s="30" t="str">
        <v>Furniture</v>
      </c>
      <c r="Z278" s="30">
        <v>3</v>
      </c>
      <c r="AA278" s="30">
        <v>199.99</v>
      </c>
      <c r="AB278" s="30" t="str">
        <v>Credit Card</v>
      </c>
      <c r="AC278" s="30" t="str">
        <v>North</v>
      </c>
      <c r="AD278" s="30" t="str">
        <v>Premium</v>
      </c>
      <c r="AE278" s="30">
        <v>45292</v>
      </c>
      <c r="AF278" s="30">
        <v>599.97</v>
      </c>
    </row>
    <row r="279" spans="3:32" x14ac:dyDescent="0.35">
      <c r="C279" s="30" t="str">
        <v>TRX0033</v>
      </c>
      <c r="D279" s="30">
        <v>45613</v>
      </c>
      <c r="E279" s="30" t="str">
        <v>CUST025</v>
      </c>
      <c r="F279" s="30" t="str">
        <v>Mark Carter</v>
      </c>
      <c r="G279" s="30" t="str">
        <v>P002</v>
      </c>
      <c r="H279" s="30" t="str">
        <v>Smartphone</v>
      </c>
      <c r="I279" s="30" t="str">
        <v>Electronics</v>
      </c>
      <c r="J279" s="30">
        <v>2</v>
      </c>
      <c r="K279" s="30">
        <v>699.99</v>
      </c>
      <c r="L279" s="30" t="str">
        <v>PayPal</v>
      </c>
      <c r="M279" s="30" t="str">
        <v>West</v>
      </c>
      <c r="N279" s="30" t="str">
        <v>Standard</v>
      </c>
      <c r="O279" s="30">
        <v>44770</v>
      </c>
      <c r="P279" s="72"/>
      <c r="Q279" s="29"/>
      <c r="R279" s="29"/>
      <c r="S279" s="30" t="str">
        <v>TRX0202</v>
      </c>
      <c r="T279" s="30">
        <v>45441</v>
      </c>
      <c r="U279" s="30" t="str">
        <v>CUST035</v>
      </c>
      <c r="V279" s="30" t="str">
        <v>Harry Morgan</v>
      </c>
      <c r="W279" s="30" t="str">
        <v>P010</v>
      </c>
      <c r="X279" s="30" t="str">
        <v>Keyboard</v>
      </c>
      <c r="Y279" s="30" t="str">
        <v>Electronics</v>
      </c>
      <c r="Z279" s="30">
        <v>3</v>
      </c>
      <c r="AA279" s="30">
        <v>89.99</v>
      </c>
      <c r="AB279" s="30" t="str">
        <v>PayPal</v>
      </c>
      <c r="AC279" s="30" t="str">
        <v>Central</v>
      </c>
      <c r="AD279" s="30" t="str">
        <v>Premium</v>
      </c>
      <c r="AE279" s="30">
        <v>45120</v>
      </c>
      <c r="AF279" s="30">
        <v>269.97000000000003</v>
      </c>
    </row>
    <row r="280" spans="3:32" x14ac:dyDescent="0.35">
      <c r="C280" s="30" t="str">
        <v>TRX0148</v>
      </c>
      <c r="D280" s="30">
        <v>45619</v>
      </c>
      <c r="E280" s="30" t="str">
        <v>CUST004</v>
      </c>
      <c r="F280" s="30" t="str">
        <v>Sarah Davis</v>
      </c>
      <c r="G280" s="30" t="str">
        <v>P002</v>
      </c>
      <c r="H280" s="30" t="str">
        <v>Smartphone</v>
      </c>
      <c r="I280" s="30" t="str">
        <v>Electronics</v>
      </c>
      <c r="J280" s="30">
        <v>3</v>
      </c>
      <c r="K280" s="30">
        <v>699.99</v>
      </c>
      <c r="L280" s="30" t="str">
        <v>PayPal</v>
      </c>
      <c r="M280" s="30" t="str">
        <v>West</v>
      </c>
      <c r="N280" s="30" t="str">
        <v>Standard</v>
      </c>
      <c r="O280" s="30">
        <v>44583</v>
      </c>
      <c r="P280" s="72"/>
      <c r="Q280" s="29"/>
      <c r="R280" s="29"/>
      <c r="S280" s="30" t="str">
        <v>TRX0220</v>
      </c>
      <c r="T280" s="30">
        <v>45450</v>
      </c>
      <c r="U280" s="30" t="str">
        <v>CUST003</v>
      </c>
      <c r="V280" s="30" t="str">
        <v>Michael Brown</v>
      </c>
      <c r="W280" s="30" t="str">
        <v>P008</v>
      </c>
      <c r="X280" s="30" t="str">
        <v>Bookshelf</v>
      </c>
      <c r="Y280" s="30" t="str">
        <v>Furniture</v>
      </c>
      <c r="Z280" s="30">
        <v>2</v>
      </c>
      <c r="AA280" s="30">
        <v>149.99</v>
      </c>
      <c r="AB280" s="30" t="str">
        <v>Cash</v>
      </c>
      <c r="AC280" s="30" t="str">
        <v>East</v>
      </c>
      <c r="AD280" s="30" t="str">
        <v>Premium</v>
      </c>
      <c r="AE280" s="30">
        <v>44645</v>
      </c>
      <c r="AF280" s="30">
        <v>299.98</v>
      </c>
    </row>
    <row r="281" spans="3:32" x14ac:dyDescent="0.35">
      <c r="C281" s="30" t="str">
        <v>TRX0201</v>
      </c>
      <c r="D281" s="30">
        <v>45627</v>
      </c>
      <c r="E281" s="30" t="str">
        <v>CUST025</v>
      </c>
      <c r="F281" s="30" t="str">
        <v>Mark Carter</v>
      </c>
      <c r="G281" s="30" t="str">
        <v>P002</v>
      </c>
      <c r="H281" s="30" t="str">
        <v>Smartphone</v>
      </c>
      <c r="I281" s="30" t="str">
        <v>Electronics</v>
      </c>
      <c r="J281" s="30">
        <v>5</v>
      </c>
      <c r="K281" s="30">
        <v>699.99</v>
      </c>
      <c r="L281" s="30" t="str">
        <v>Debit Card</v>
      </c>
      <c r="M281" s="30" t="str">
        <v>West</v>
      </c>
      <c r="N281" s="30" t="str">
        <v>Standard</v>
      </c>
      <c r="O281" s="30">
        <v>44944</v>
      </c>
      <c r="P281" s="72"/>
      <c r="Q281" s="29"/>
      <c r="R281" s="29"/>
      <c r="S281" s="30" t="str">
        <v>TRX0088</v>
      </c>
      <c r="T281" s="30">
        <v>45456</v>
      </c>
      <c r="U281" s="30" t="str">
        <v>CUST006</v>
      </c>
      <c r="V281" s="30" t="str">
        <v>Lisa Anderson</v>
      </c>
      <c r="W281" s="30" t="str">
        <v>P010</v>
      </c>
      <c r="X281" s="30" t="str">
        <v>Keyboard</v>
      </c>
      <c r="Y281" s="30" t="str">
        <v>Electronics</v>
      </c>
      <c r="Z281" s="30">
        <v>5</v>
      </c>
      <c r="AA281" s="30">
        <v>89.99</v>
      </c>
      <c r="AB281" s="30" t="str">
        <v>Cash</v>
      </c>
      <c r="AC281" s="30" t="str">
        <v>Central</v>
      </c>
      <c r="AD281" s="30" t="str">
        <v>Premium</v>
      </c>
      <c r="AE281" s="30">
        <v>44579</v>
      </c>
      <c r="AF281" s="30">
        <v>449.95</v>
      </c>
    </row>
    <row r="282" spans="3:32" x14ac:dyDescent="0.35">
      <c r="C282" s="30" t="str">
        <v>TRX0164</v>
      </c>
      <c r="D282" s="30">
        <v>45648</v>
      </c>
      <c r="E282" s="30" t="str">
        <v>CUST014</v>
      </c>
      <c r="F282" s="30" t="str">
        <v>Linda Martin</v>
      </c>
      <c r="G282" s="30" t="str">
        <v>P003</v>
      </c>
      <c r="H282" s="30" t="str">
        <v>Headphones</v>
      </c>
      <c r="I282" s="30" t="str">
        <v>Electronics</v>
      </c>
      <c r="J282" s="30">
        <v>2</v>
      </c>
      <c r="K282" s="30">
        <v>149.99</v>
      </c>
      <c r="L282" s="30" t="str">
        <v>Debit Card</v>
      </c>
      <c r="M282" s="30" t="str">
        <v>West</v>
      </c>
      <c r="N282" s="30" t="str">
        <v>Premium</v>
      </c>
      <c r="O282" s="30">
        <v>45280</v>
      </c>
      <c r="P282" s="72"/>
      <c r="Q282" s="29"/>
      <c r="R282" s="29"/>
      <c r="S282" s="30" t="str">
        <v>TRX0115</v>
      </c>
      <c r="T282" s="30">
        <v>45459</v>
      </c>
      <c r="U282" s="30" t="str">
        <v>CUST012</v>
      </c>
      <c r="V282" s="30" t="str">
        <v>Patricia Moore</v>
      </c>
      <c r="W282" s="30" t="str">
        <v>P010</v>
      </c>
      <c r="X282" s="30" t="str">
        <v>Keyboard</v>
      </c>
      <c r="Y282" s="30" t="str">
        <v>Electronics</v>
      </c>
      <c r="Z282" s="30">
        <v>2</v>
      </c>
      <c r="AA282" s="30">
        <v>89.99</v>
      </c>
      <c r="AB282" s="30" t="str">
        <v>Credit Card</v>
      </c>
      <c r="AC282" s="30" t="str">
        <v>South</v>
      </c>
      <c r="AD282" s="30" t="str">
        <v>Premium</v>
      </c>
      <c r="AE282" s="30">
        <v>44471</v>
      </c>
      <c r="AF282" s="30">
        <v>179.98</v>
      </c>
    </row>
    <row r="283" spans="3:32" x14ac:dyDescent="0.35">
      <c r="C283" s="30" t="str">
        <v>TRX0010</v>
      </c>
      <c r="D283" s="30">
        <v>45688</v>
      </c>
      <c r="E283" s="30" t="str">
        <v>CUST026</v>
      </c>
      <c r="F283" s="30" t="str">
        <v>Karen Hill</v>
      </c>
      <c r="G283" s="30" t="str">
        <v>P002</v>
      </c>
      <c r="H283" s="30" t="str">
        <v>Smartphone</v>
      </c>
      <c r="I283" s="30" t="str">
        <v>Electronics</v>
      </c>
      <c r="J283" s="30">
        <v>4</v>
      </c>
      <c r="K283" s="30">
        <v>699.99</v>
      </c>
      <c r="L283" s="30" t="str">
        <v>Debit Card</v>
      </c>
      <c r="M283" s="30" t="str">
        <v>West</v>
      </c>
      <c r="N283" s="30" t="str">
        <v>Premium</v>
      </c>
      <c r="O283" s="30">
        <v>44692</v>
      </c>
      <c r="P283" s="72"/>
      <c r="Q283" s="29"/>
      <c r="R283" s="29"/>
      <c r="S283" s="30" t="str">
        <v>TRX0044</v>
      </c>
      <c r="T283" s="30">
        <v>45459</v>
      </c>
      <c r="U283" s="30" t="str">
        <v>CUST029</v>
      </c>
      <c r="V283" s="30" t="str">
        <v>Edward Mitchell</v>
      </c>
      <c r="W283" s="30" t="str">
        <v>P001</v>
      </c>
      <c r="X283" s="30" t="str">
        <v>Laptop</v>
      </c>
      <c r="Y283" s="30" t="str">
        <v>Electronics</v>
      </c>
      <c r="Z283" s="30">
        <v>5</v>
      </c>
      <c r="AA283" s="30">
        <v>899.99</v>
      </c>
      <c r="AB283" s="30" t="str">
        <v>PayPal</v>
      </c>
      <c r="AC283" s="30" t="str">
        <v>East</v>
      </c>
      <c r="AD283" s="30" t="str">
        <v>Premium</v>
      </c>
      <c r="AE283" s="30">
        <v>45278</v>
      </c>
      <c r="AF283" s="30">
        <v>4499.95</v>
      </c>
    </row>
    <row r="284" spans="3:32" x14ac:dyDescent="0.35">
      <c r="C284" s="30" t="str">
        <v>TRX0151</v>
      </c>
      <c r="D284" s="30">
        <v>45710</v>
      </c>
      <c r="E284" s="30" t="str">
        <v>CUST040</v>
      </c>
      <c r="F284" s="30" t="str">
        <v>Sharon Butler</v>
      </c>
      <c r="G284" s="30" t="str">
        <v>P002</v>
      </c>
      <c r="H284" s="30" t="str">
        <v>Smartphone</v>
      </c>
      <c r="I284" s="30" t="str">
        <v>Electronics</v>
      </c>
      <c r="J284" s="30">
        <v>1</v>
      </c>
      <c r="K284" s="30">
        <v>699.99</v>
      </c>
      <c r="L284" s="30" t="str">
        <v>PayPal</v>
      </c>
      <c r="M284" s="30" t="str">
        <v>West</v>
      </c>
      <c r="N284" s="30" t="str">
        <v>Basic</v>
      </c>
      <c r="O284" s="30">
        <v>44934</v>
      </c>
      <c r="P284" s="72"/>
      <c r="Q284" s="29"/>
      <c r="R284" s="29"/>
      <c r="S284" s="30" t="str">
        <v>TRX0061</v>
      </c>
      <c r="T284" s="30">
        <v>45460</v>
      </c>
      <c r="U284" s="30" t="str">
        <v>CUST028</v>
      </c>
      <c r="V284" s="30" t="str">
        <v>Betty Campbell</v>
      </c>
      <c r="W284" s="30" t="str">
        <v>P005</v>
      </c>
      <c r="X284" s="30" t="str">
        <v>Blender</v>
      </c>
      <c r="Y284" s="30" t="str">
        <v>Appliances</v>
      </c>
      <c r="Z284" s="30">
        <v>1</v>
      </c>
      <c r="AA284" s="30">
        <v>59.99</v>
      </c>
      <c r="AB284" s="30" t="str">
        <v>Debit Card</v>
      </c>
      <c r="AC284" s="30" t="str">
        <v>West</v>
      </c>
      <c r="AD284" s="30" t="str">
        <v>Premium</v>
      </c>
      <c r="AE284" s="30">
        <v>45190</v>
      </c>
      <c r="AF284" s="30">
        <v>59.99</v>
      </c>
    </row>
    <row r="285" spans="3:32" x14ac:dyDescent="0.35">
      <c r="C285" s="30" t="str">
        <v>TRX0062</v>
      </c>
      <c r="D285" s="30">
        <v>45711</v>
      </c>
      <c r="E285" s="30" t="str">
        <v>CUST016</v>
      </c>
      <c r="F285" s="30" t="str">
        <v>Elizabeth Hall</v>
      </c>
      <c r="G285" s="30" t="str">
        <v>P010</v>
      </c>
      <c r="H285" s="30" t="str">
        <v>Keyboard</v>
      </c>
      <c r="I285" s="30" t="str">
        <v>Electronics</v>
      </c>
      <c r="J285" s="30">
        <v>5</v>
      </c>
      <c r="K285" s="30">
        <v>89.99</v>
      </c>
      <c r="L285" s="30" t="str">
        <v>PayPal</v>
      </c>
      <c r="M285" s="30" t="str">
        <v>West</v>
      </c>
      <c r="N285" s="30" t="str">
        <v>Premium</v>
      </c>
      <c r="O285" s="30">
        <v>45140</v>
      </c>
      <c r="P285" s="72"/>
      <c r="Q285" s="29"/>
      <c r="R285" s="29"/>
      <c r="S285" s="30" t="str">
        <v>TRX0078</v>
      </c>
      <c r="T285" s="30">
        <v>45469</v>
      </c>
      <c r="U285" s="30" t="str">
        <v>CUST021</v>
      </c>
      <c r="V285" s="30" t="str">
        <v>Kevin Scott</v>
      </c>
      <c r="W285" s="30" t="str">
        <v>P004</v>
      </c>
      <c r="X285" s="30" t="str">
        <v>Coffee Maker</v>
      </c>
      <c r="Y285" s="30" t="str">
        <v>Appliances</v>
      </c>
      <c r="Z285" s="30">
        <v>1</v>
      </c>
      <c r="AA285" s="30">
        <v>79.989999999999995</v>
      </c>
      <c r="AB285" s="30" t="str">
        <v>PayPal</v>
      </c>
      <c r="AC285" s="30" t="str">
        <v>Central</v>
      </c>
      <c r="AD285" s="30" t="str">
        <v>Premium</v>
      </c>
      <c r="AE285" s="30">
        <v>45352</v>
      </c>
      <c r="AF285" s="30">
        <v>79.989999999999995</v>
      </c>
    </row>
    <row r="286" spans="3:32" x14ac:dyDescent="0.35">
      <c r="C286" s="30" t="str">
        <v>TRX0233</v>
      </c>
      <c r="D286" s="30">
        <v>45723</v>
      </c>
      <c r="E286" s="30" t="str">
        <v>CUST023</v>
      </c>
      <c r="F286" s="30" t="str">
        <v>Paul Baker</v>
      </c>
      <c r="G286" s="30" t="str">
        <v>P010</v>
      </c>
      <c r="H286" s="30" t="str">
        <v>Keyboard</v>
      </c>
      <c r="I286" s="30" t="str">
        <v>Electronics</v>
      </c>
      <c r="J286" s="30">
        <v>2</v>
      </c>
      <c r="K286" s="30">
        <v>89.99</v>
      </c>
      <c r="L286" s="30" t="str">
        <v>Credit Card</v>
      </c>
      <c r="M286" s="30" t="str">
        <v>West</v>
      </c>
      <c r="N286" s="30" t="str">
        <v>Premium</v>
      </c>
      <c r="O286" s="30">
        <v>45295</v>
      </c>
      <c r="P286" s="72"/>
      <c r="Q286" s="29"/>
      <c r="R286" s="29"/>
      <c r="S286" s="30" t="str">
        <v>TRX0184</v>
      </c>
      <c r="T286" s="30">
        <v>45471</v>
      </c>
      <c r="U286" s="30" t="str">
        <v>CUST046</v>
      </c>
      <c r="V286" s="30" t="str">
        <v>Kathleen Bennett</v>
      </c>
      <c r="W286" s="30" t="str">
        <v>P002</v>
      </c>
      <c r="X286" s="30" t="str">
        <v>Smartphone</v>
      </c>
      <c r="Y286" s="30" t="str">
        <v>Electronics</v>
      </c>
      <c r="Z286" s="30">
        <v>3</v>
      </c>
      <c r="AA286" s="30">
        <v>699.99</v>
      </c>
      <c r="AB286" s="30" t="str">
        <v>Credit Card</v>
      </c>
      <c r="AC286" s="30" t="str">
        <v>East</v>
      </c>
      <c r="AD286" s="30" t="str">
        <v>Premium</v>
      </c>
      <c r="AE286" s="30">
        <v>45102</v>
      </c>
      <c r="AF286" s="30">
        <v>2099.9699999999998</v>
      </c>
    </row>
    <row r="287" spans="3:32" x14ac:dyDescent="0.35">
      <c r="C287" s="30" t="str">
        <v>TRX0250</v>
      </c>
      <c r="D287" s="30">
        <v>45746</v>
      </c>
      <c r="E287" s="30" t="str">
        <v>CUST026</v>
      </c>
      <c r="F287" s="30" t="str">
        <v>Karen Hill</v>
      </c>
      <c r="G287" s="30" t="str">
        <v>P010</v>
      </c>
      <c r="H287" s="30" t="str">
        <v>Keyboard</v>
      </c>
      <c r="I287" s="30" t="str">
        <v>Electronics</v>
      </c>
      <c r="J287" s="30">
        <v>2</v>
      </c>
      <c r="K287" s="30">
        <v>89.99</v>
      </c>
      <c r="L287" s="30" t="str">
        <v>Debit Card</v>
      </c>
      <c r="M287" s="30" t="str">
        <v>West</v>
      </c>
      <c r="N287" s="30" t="str">
        <v>Premium</v>
      </c>
      <c r="O287" s="30">
        <v>44522</v>
      </c>
      <c r="P287" s="72"/>
      <c r="Q287" s="29"/>
      <c r="R287" s="29"/>
      <c r="S287" s="30" t="str">
        <v>TRX0104</v>
      </c>
      <c r="T287" s="30">
        <v>45471</v>
      </c>
      <c r="U287" s="30" t="str">
        <v>CUST012</v>
      </c>
      <c r="V287" s="30" t="str">
        <v>Patricia Moore</v>
      </c>
      <c r="W287" s="30" t="str">
        <v>P001</v>
      </c>
      <c r="X287" s="30" t="str">
        <v>Laptop</v>
      </c>
      <c r="Y287" s="30" t="str">
        <v>Electronics</v>
      </c>
      <c r="Z287" s="30">
        <v>4</v>
      </c>
      <c r="AA287" s="30">
        <v>899.99</v>
      </c>
      <c r="AB287" s="30" t="str">
        <v>Credit Card</v>
      </c>
      <c r="AC287" s="30" t="str">
        <v>East</v>
      </c>
      <c r="AD287" s="30" t="str">
        <v>Premium</v>
      </c>
      <c r="AE287" s="30">
        <v>44993</v>
      </c>
      <c r="AF287" s="30">
        <v>3599.96</v>
      </c>
    </row>
    <row r="288" spans="3:32" x14ac:dyDescent="0.35">
      <c r="C288" s="72"/>
      <c r="D288" s="72"/>
      <c r="E288" s="72"/>
      <c r="F288" s="72"/>
      <c r="G288" s="72"/>
      <c r="H288" s="72"/>
      <c r="I288" s="72"/>
      <c r="J288" s="72"/>
      <c r="K288" s="72"/>
      <c r="L288" s="72"/>
      <c r="M288" s="72"/>
      <c r="N288" s="72"/>
      <c r="O288" s="72"/>
      <c r="P288" s="72"/>
      <c r="Q288" s="29"/>
      <c r="R288" s="29"/>
      <c r="S288" s="30" t="str">
        <v>TRX0096</v>
      </c>
      <c r="T288" s="30">
        <v>45474</v>
      </c>
      <c r="U288" s="30" t="str">
        <v>CUST002</v>
      </c>
      <c r="V288" s="30" t="str">
        <v>Emma Wilson</v>
      </c>
      <c r="W288" s="30" t="str">
        <v>P010</v>
      </c>
      <c r="X288" s="30" t="str">
        <v>Keyboard</v>
      </c>
      <c r="Y288" s="30" t="str">
        <v>Electronics</v>
      </c>
      <c r="Z288" s="30">
        <v>2</v>
      </c>
      <c r="AA288" s="30">
        <v>89.99</v>
      </c>
      <c r="AB288" s="30" t="str">
        <v>PayPal</v>
      </c>
      <c r="AC288" s="30" t="str">
        <v>Central</v>
      </c>
      <c r="AD288" s="30" t="str">
        <v>Premium</v>
      </c>
      <c r="AE288" s="30">
        <v>45275</v>
      </c>
      <c r="AF288" s="30">
        <v>179.98</v>
      </c>
    </row>
    <row r="289" spans="3:32" x14ac:dyDescent="0.35">
      <c r="C289" s="72"/>
      <c r="D289" s="72"/>
      <c r="E289" s="72"/>
      <c r="F289" s="72"/>
      <c r="G289" s="72"/>
      <c r="H289" s="72"/>
      <c r="I289" s="72"/>
      <c r="J289" s="72"/>
      <c r="K289" s="72"/>
      <c r="L289" s="72"/>
      <c r="M289" s="72"/>
      <c r="N289" s="72"/>
      <c r="O289" s="72"/>
      <c r="P289" s="73"/>
      <c r="Q289" s="29"/>
      <c r="R289" s="29"/>
      <c r="S289" s="30" t="str">
        <v>TRX0113</v>
      </c>
      <c r="T289" s="30">
        <v>45481</v>
      </c>
      <c r="U289" s="30" t="str">
        <v>CUST003</v>
      </c>
      <c r="V289" s="30" t="str">
        <v>Michael Brown</v>
      </c>
      <c r="W289" s="30" t="str">
        <v>P002</v>
      </c>
      <c r="X289" s="30" t="str">
        <v>Smartphone</v>
      </c>
      <c r="Y289" s="30" t="str">
        <v>Electronics</v>
      </c>
      <c r="Z289" s="30">
        <v>2</v>
      </c>
      <c r="AA289" s="30">
        <v>699.99</v>
      </c>
      <c r="AB289" s="30" t="str">
        <v>PayPal</v>
      </c>
      <c r="AC289" s="30" t="str">
        <v>East</v>
      </c>
      <c r="AD289" s="30" t="str">
        <v>Premium</v>
      </c>
      <c r="AE289" s="30">
        <v>45389</v>
      </c>
      <c r="AF289" s="30">
        <v>1399.98</v>
      </c>
    </row>
    <row r="290" spans="3:32" x14ac:dyDescent="0.35">
      <c r="C290" s="72"/>
      <c r="D290" s="72"/>
      <c r="E290" s="72"/>
      <c r="F290" s="72"/>
      <c r="G290" s="72"/>
      <c r="H290" s="72"/>
      <c r="I290" s="72"/>
      <c r="J290" s="72"/>
      <c r="K290" s="72"/>
      <c r="L290" s="72"/>
      <c r="M290" s="72"/>
      <c r="N290" s="72"/>
      <c r="O290" s="72"/>
      <c r="P290" s="72"/>
      <c r="Q290" s="29"/>
      <c r="R290" s="29"/>
      <c r="S290" s="30" t="str">
        <v>TRX0114</v>
      </c>
      <c r="T290" s="30">
        <v>45481</v>
      </c>
      <c r="U290" s="30" t="str">
        <v>CUST018</v>
      </c>
      <c r="V290" s="30" t="str">
        <v>Barbara Young</v>
      </c>
      <c r="W290" s="30" t="str">
        <v>P010</v>
      </c>
      <c r="X290" s="30" t="str">
        <v>Keyboard</v>
      </c>
      <c r="Y290" s="30" t="str">
        <v>Electronics</v>
      </c>
      <c r="Z290" s="30">
        <v>5</v>
      </c>
      <c r="AA290" s="30">
        <v>89.99</v>
      </c>
      <c r="AB290" s="30" t="str">
        <v>Debit Card</v>
      </c>
      <c r="AC290" s="30" t="str">
        <v>North</v>
      </c>
      <c r="AD290" s="30" t="str">
        <v>Premium</v>
      </c>
      <c r="AE290" s="30">
        <v>45161</v>
      </c>
      <c r="AF290" s="30">
        <v>449.95</v>
      </c>
    </row>
    <row r="291" spans="3:32" x14ac:dyDescent="0.35">
      <c r="C291" s="72"/>
      <c r="D291" s="72"/>
      <c r="E291" s="72"/>
      <c r="F291" s="72"/>
      <c r="G291" s="72"/>
      <c r="H291" s="72"/>
      <c r="I291" s="72"/>
      <c r="J291" s="72"/>
      <c r="K291" s="72"/>
      <c r="L291" s="72"/>
      <c r="M291" s="72"/>
      <c r="N291" s="72"/>
      <c r="O291" s="72"/>
      <c r="P291" s="72"/>
      <c r="Q291" s="29"/>
      <c r="R291" s="29"/>
      <c r="S291" s="30" t="str">
        <v>TRX0141</v>
      </c>
      <c r="T291" s="30">
        <v>45484</v>
      </c>
      <c r="U291" s="30" t="str">
        <v>CUST033</v>
      </c>
      <c r="V291" s="30" t="str">
        <v>Frank Torres</v>
      </c>
      <c r="W291" s="30" t="str">
        <v>P007</v>
      </c>
      <c r="X291" s="30" t="str">
        <v>Desk</v>
      </c>
      <c r="Y291" s="30" t="str">
        <v>Furniture</v>
      </c>
      <c r="Z291" s="30">
        <v>1</v>
      </c>
      <c r="AA291" s="30">
        <v>299.99</v>
      </c>
      <c r="AB291" s="30" t="str">
        <v>Credit Card</v>
      </c>
      <c r="AC291" s="30" t="str">
        <v>North</v>
      </c>
      <c r="AD291" s="30" t="str">
        <v>Premium</v>
      </c>
      <c r="AE291" s="30">
        <v>44891</v>
      </c>
      <c r="AF291" s="30">
        <v>299.99</v>
      </c>
    </row>
    <row r="292" spans="3:32" x14ac:dyDescent="0.35">
      <c r="C292" s="72"/>
      <c r="D292" s="72"/>
      <c r="E292" s="72"/>
      <c r="F292" s="72"/>
      <c r="G292" s="72"/>
      <c r="H292" s="72"/>
      <c r="I292" s="72"/>
      <c r="J292" s="72"/>
      <c r="K292" s="72"/>
      <c r="L292" s="72"/>
      <c r="M292" s="72"/>
      <c r="N292" s="72"/>
      <c r="O292" s="72"/>
      <c r="P292" s="72"/>
      <c r="Q292" s="29"/>
      <c r="R292" s="29"/>
      <c r="S292" s="30" t="str">
        <v>TRX0216</v>
      </c>
      <c r="T292" s="30">
        <v>45490</v>
      </c>
      <c r="U292" s="30" t="str">
        <v>CUST041</v>
      </c>
      <c r="V292" s="30" t="str">
        <v>Peter Richardson</v>
      </c>
      <c r="W292" s="30" t="str">
        <v>P008</v>
      </c>
      <c r="X292" s="30" t="str">
        <v>Bookshelf</v>
      </c>
      <c r="Y292" s="30" t="str">
        <v>Furniture</v>
      </c>
      <c r="Z292" s="30">
        <v>3</v>
      </c>
      <c r="AA292" s="30">
        <v>149.99</v>
      </c>
      <c r="AB292" s="30" t="str">
        <v>Cash</v>
      </c>
      <c r="AC292" s="30" t="str">
        <v>Central</v>
      </c>
      <c r="AD292" s="30" t="str">
        <v>Premium</v>
      </c>
      <c r="AE292" s="30">
        <v>45199</v>
      </c>
      <c r="AF292" s="30">
        <v>449.97</v>
      </c>
    </row>
    <row r="293" spans="3:32" x14ac:dyDescent="0.35">
      <c r="C293" s="72"/>
      <c r="D293" s="72"/>
      <c r="E293" s="72"/>
      <c r="F293" s="72"/>
      <c r="G293" s="72"/>
      <c r="H293" s="72"/>
      <c r="I293" s="72"/>
      <c r="J293" s="72"/>
      <c r="K293" s="72"/>
      <c r="L293" s="72"/>
      <c r="M293" s="72"/>
      <c r="N293" s="72"/>
      <c r="O293" s="72"/>
      <c r="P293" s="72"/>
      <c r="Q293" s="29"/>
      <c r="R293" s="29"/>
      <c r="S293" s="30" t="str">
        <v>TRX0131</v>
      </c>
      <c r="T293" s="30">
        <v>45491</v>
      </c>
      <c r="U293" s="30" t="str">
        <v>CUST026</v>
      </c>
      <c r="V293" s="30" t="str">
        <v>Karen Hill</v>
      </c>
      <c r="W293" s="30" t="str">
        <v>P006</v>
      </c>
      <c r="X293" s="30" t="str">
        <v>Office Chair</v>
      </c>
      <c r="Y293" s="30" t="str">
        <v>Furniture</v>
      </c>
      <c r="Z293" s="30">
        <v>3</v>
      </c>
      <c r="AA293" s="30">
        <v>199.99</v>
      </c>
      <c r="AB293" s="30" t="str">
        <v>Cash</v>
      </c>
      <c r="AC293" s="30" t="str">
        <v>North</v>
      </c>
      <c r="AD293" s="30" t="str">
        <v>Premium</v>
      </c>
      <c r="AE293" s="30">
        <v>45254</v>
      </c>
      <c r="AF293" s="30">
        <v>599.97</v>
      </c>
    </row>
    <row r="294" spans="3:32" x14ac:dyDescent="0.35">
      <c r="C294" s="72"/>
      <c r="D294" s="72"/>
      <c r="E294" s="72"/>
      <c r="F294" s="72"/>
      <c r="G294" s="72"/>
      <c r="H294" s="72"/>
      <c r="I294" s="72"/>
      <c r="J294" s="72"/>
      <c r="K294" s="72"/>
      <c r="L294" s="72"/>
      <c r="M294" s="72"/>
      <c r="N294" s="72"/>
      <c r="O294" s="72"/>
      <c r="P294" s="72"/>
      <c r="Q294" s="29"/>
      <c r="R294" s="29"/>
      <c r="S294" s="30" t="str">
        <v>TRX0080</v>
      </c>
      <c r="T294" s="30">
        <v>45500</v>
      </c>
      <c r="U294" s="30" t="str">
        <v>CUST018</v>
      </c>
      <c r="V294" s="30" t="str">
        <v>Barbara Young</v>
      </c>
      <c r="W294" s="30" t="str">
        <v>P009</v>
      </c>
      <c r="X294" s="30" t="str">
        <v>Monitor</v>
      </c>
      <c r="Y294" s="30" t="str">
        <v>Electronics</v>
      </c>
      <c r="Z294" s="30">
        <v>2</v>
      </c>
      <c r="AA294" s="30">
        <v>249.99</v>
      </c>
      <c r="AB294" s="30" t="str">
        <v>Cash</v>
      </c>
      <c r="AC294" s="30" t="str">
        <v>North</v>
      </c>
      <c r="AD294" s="30" t="str">
        <v>Premium</v>
      </c>
      <c r="AE294" s="30">
        <v>45164</v>
      </c>
      <c r="AF294" s="30">
        <v>499.98</v>
      </c>
    </row>
    <row r="295" spans="3:32" x14ac:dyDescent="0.35">
      <c r="C295" s="72"/>
      <c r="D295" s="72"/>
      <c r="E295" s="72"/>
      <c r="F295" s="72"/>
      <c r="G295" s="72"/>
      <c r="H295" s="72"/>
      <c r="I295" s="72"/>
      <c r="J295" s="72"/>
      <c r="K295" s="72"/>
      <c r="L295" s="72"/>
      <c r="M295" s="72"/>
      <c r="N295" s="72"/>
      <c r="O295" s="72"/>
      <c r="P295" s="72"/>
      <c r="Q295" s="29"/>
      <c r="R295" s="29"/>
      <c r="S295" s="30" t="str">
        <v>TRX0217</v>
      </c>
      <c r="T295" s="30">
        <v>45503</v>
      </c>
      <c r="U295" s="30" t="str">
        <v>CUST025</v>
      </c>
      <c r="V295" s="30" t="str">
        <v>Mark Carter</v>
      </c>
      <c r="W295" s="30" t="str">
        <v>P002</v>
      </c>
      <c r="X295" s="30" t="str">
        <v>Smartphone</v>
      </c>
      <c r="Y295" s="30" t="str">
        <v>Electronics</v>
      </c>
      <c r="Z295" s="30">
        <v>2</v>
      </c>
      <c r="AA295" s="30">
        <v>699.99</v>
      </c>
      <c r="AB295" s="30" t="str">
        <v>Credit Card</v>
      </c>
      <c r="AC295" s="30" t="str">
        <v>North</v>
      </c>
      <c r="AD295" s="30" t="str">
        <v>Premium</v>
      </c>
      <c r="AE295" s="30">
        <v>44999</v>
      </c>
      <c r="AF295" s="30">
        <v>1399.98</v>
      </c>
    </row>
    <row r="296" spans="3:32" x14ac:dyDescent="0.35">
      <c r="C296" s="72"/>
      <c r="D296" s="72"/>
      <c r="E296" s="72"/>
      <c r="F296" s="72"/>
      <c r="G296" s="72"/>
      <c r="H296" s="72"/>
      <c r="I296" s="72"/>
      <c r="J296" s="72"/>
      <c r="K296" s="72"/>
      <c r="L296" s="72"/>
      <c r="M296" s="72"/>
      <c r="N296" s="72"/>
      <c r="O296" s="72"/>
      <c r="P296" s="72"/>
      <c r="Q296" s="29"/>
      <c r="R296" s="29"/>
      <c r="S296" s="30" t="str">
        <v>TRX0020</v>
      </c>
      <c r="T296" s="30">
        <v>45517</v>
      </c>
      <c r="U296" s="30" t="str">
        <v>CUST007</v>
      </c>
      <c r="V296" s="30" t="str">
        <v>David Martinez</v>
      </c>
      <c r="W296" s="30" t="str">
        <v>P003</v>
      </c>
      <c r="X296" s="30" t="str">
        <v>Headphones</v>
      </c>
      <c r="Y296" s="30" t="str">
        <v>Electronics</v>
      </c>
      <c r="Z296" s="30">
        <v>4</v>
      </c>
      <c r="AA296" s="30">
        <v>149.99</v>
      </c>
      <c r="AB296" s="30" t="str">
        <v>Debit Card</v>
      </c>
      <c r="AC296" s="30" t="str">
        <v>South</v>
      </c>
      <c r="AD296" s="30" t="str">
        <v>Premium</v>
      </c>
      <c r="AE296" s="30">
        <v>44820</v>
      </c>
      <c r="AF296" s="30">
        <v>599.96</v>
      </c>
    </row>
    <row r="297" spans="3:32" x14ac:dyDescent="0.35">
      <c r="C297" s="72"/>
      <c r="D297" s="72"/>
      <c r="E297" s="72"/>
      <c r="F297" s="72"/>
      <c r="G297" s="72"/>
      <c r="H297" s="72"/>
      <c r="I297" s="72"/>
      <c r="J297" s="72"/>
      <c r="K297" s="72"/>
      <c r="L297" s="72"/>
      <c r="M297" s="72"/>
      <c r="N297" s="72"/>
      <c r="O297" s="72"/>
      <c r="P297" s="72"/>
      <c r="Q297" s="29"/>
      <c r="R297" s="29"/>
      <c r="S297" s="30" t="str">
        <v>TRX0075</v>
      </c>
      <c r="T297" s="30">
        <v>45517</v>
      </c>
      <c r="U297" s="30" t="str">
        <v>CUST020</v>
      </c>
      <c r="V297" s="30" t="str">
        <v>Margaret Wright</v>
      </c>
      <c r="W297" s="30" t="str">
        <v>P009</v>
      </c>
      <c r="X297" s="30" t="str">
        <v>Monitor</v>
      </c>
      <c r="Y297" s="30" t="str">
        <v>Electronics</v>
      </c>
      <c r="Z297" s="30">
        <v>5</v>
      </c>
      <c r="AA297" s="30">
        <v>249.99</v>
      </c>
      <c r="AB297" s="30" t="str">
        <v>PayPal</v>
      </c>
      <c r="AC297" s="30" t="str">
        <v>East</v>
      </c>
      <c r="AD297" s="30" t="str">
        <v>Premium</v>
      </c>
      <c r="AE297" s="30">
        <v>44782</v>
      </c>
      <c r="AF297" s="30">
        <v>1249.95</v>
      </c>
    </row>
    <row r="298" spans="3:32" x14ac:dyDescent="0.35">
      <c r="C298" s="72"/>
      <c r="D298" s="72"/>
      <c r="E298" s="72"/>
      <c r="F298" s="72"/>
      <c r="G298" s="72"/>
      <c r="H298" s="72"/>
      <c r="I298" s="72"/>
      <c r="J298" s="72"/>
      <c r="K298" s="72"/>
      <c r="L298" s="72"/>
      <c r="M298" s="72"/>
      <c r="N298" s="72"/>
      <c r="O298" s="72"/>
      <c r="P298" s="72"/>
      <c r="Q298" s="29"/>
      <c r="R298" s="29"/>
      <c r="S298" s="30" t="str">
        <v>TRX0098</v>
      </c>
      <c r="T298" s="30">
        <v>45517</v>
      </c>
      <c r="U298" s="30" t="str">
        <v>CUST026</v>
      </c>
      <c r="V298" s="30" t="str">
        <v>Karen Hill</v>
      </c>
      <c r="W298" s="30" t="str">
        <v>P009</v>
      </c>
      <c r="X298" s="30" t="str">
        <v>Monitor</v>
      </c>
      <c r="Y298" s="30" t="str">
        <v>Electronics</v>
      </c>
      <c r="Z298" s="30">
        <v>3</v>
      </c>
      <c r="AA298" s="30">
        <v>249.99</v>
      </c>
      <c r="AB298" s="30" t="str">
        <v>PayPal</v>
      </c>
      <c r="AC298" s="30" t="str">
        <v>North</v>
      </c>
      <c r="AD298" s="30" t="str">
        <v>Premium</v>
      </c>
      <c r="AE298" s="30">
        <v>44465</v>
      </c>
      <c r="AF298" s="30">
        <v>749.97</v>
      </c>
    </row>
    <row r="299" spans="3:32" x14ac:dyDescent="0.35">
      <c r="C299" s="72"/>
      <c r="D299" s="72"/>
      <c r="E299" s="72"/>
      <c r="F299" s="72"/>
      <c r="G299" s="72"/>
      <c r="H299" s="72"/>
      <c r="I299" s="72"/>
      <c r="J299" s="72"/>
      <c r="K299" s="72"/>
      <c r="L299" s="72"/>
      <c r="M299" s="72"/>
      <c r="N299" s="72"/>
      <c r="O299" s="72"/>
      <c r="P299" s="72"/>
      <c r="Q299" s="29"/>
      <c r="R299" s="29"/>
      <c r="S299" s="30" t="str">
        <v>TRX0027</v>
      </c>
      <c r="T299" s="30">
        <v>45519</v>
      </c>
      <c r="U299" s="30" t="str">
        <v>CUST028</v>
      </c>
      <c r="V299" s="30" t="str">
        <v>Betty Campbell</v>
      </c>
      <c r="W299" s="30" t="str">
        <v>P006</v>
      </c>
      <c r="X299" s="30" t="str">
        <v>Office Chair</v>
      </c>
      <c r="Y299" s="30" t="str">
        <v>Furniture</v>
      </c>
      <c r="Z299" s="30">
        <v>5</v>
      </c>
      <c r="AA299" s="30">
        <v>199.99</v>
      </c>
      <c r="AB299" s="30" t="str">
        <v>Cash</v>
      </c>
      <c r="AC299" s="30" t="str">
        <v>North</v>
      </c>
      <c r="AD299" s="30" t="str">
        <v>Premium</v>
      </c>
      <c r="AE299" s="30">
        <v>44991</v>
      </c>
      <c r="AF299" s="30">
        <v>999.95</v>
      </c>
    </row>
    <row r="300" spans="3:32" x14ac:dyDescent="0.35">
      <c r="C300" s="72"/>
      <c r="D300" s="72"/>
      <c r="E300" s="72"/>
      <c r="F300" s="72"/>
      <c r="G300" s="72"/>
      <c r="H300" s="72"/>
      <c r="I300" s="72"/>
      <c r="J300" s="72"/>
      <c r="K300" s="72"/>
      <c r="L300" s="72"/>
      <c r="M300" s="72"/>
      <c r="N300" s="72"/>
      <c r="O300" s="72"/>
      <c r="P300" s="72"/>
      <c r="Q300" s="29"/>
      <c r="R300" s="29"/>
      <c r="S300" s="30" t="str">
        <v>TRX0140</v>
      </c>
      <c r="T300" s="30">
        <v>45522</v>
      </c>
      <c r="U300" s="30" t="str">
        <v>CUST025</v>
      </c>
      <c r="V300" s="30" t="str">
        <v>Mark Carter</v>
      </c>
      <c r="W300" s="30" t="str">
        <v>P010</v>
      </c>
      <c r="X300" s="30" t="str">
        <v>Keyboard</v>
      </c>
      <c r="Y300" s="30" t="str">
        <v>Electronics</v>
      </c>
      <c r="Z300" s="30">
        <v>2</v>
      </c>
      <c r="AA300" s="30">
        <v>89.99</v>
      </c>
      <c r="AB300" s="30" t="str">
        <v>Cash</v>
      </c>
      <c r="AC300" s="30" t="str">
        <v>East</v>
      </c>
      <c r="AD300" s="30" t="str">
        <v>Premium</v>
      </c>
      <c r="AE300" s="30">
        <v>44972</v>
      </c>
      <c r="AF300" s="30">
        <v>179.98</v>
      </c>
    </row>
    <row r="301" spans="3:32" x14ac:dyDescent="0.35">
      <c r="C301" s="72"/>
      <c r="D301" s="72"/>
      <c r="E301" s="72"/>
      <c r="F301" s="72"/>
      <c r="G301" s="72"/>
      <c r="H301" s="72"/>
      <c r="I301" s="72"/>
      <c r="J301" s="72"/>
      <c r="K301" s="72"/>
      <c r="L301" s="72"/>
      <c r="M301" s="72"/>
      <c r="N301" s="72"/>
      <c r="O301" s="72"/>
      <c r="P301" s="72"/>
      <c r="Q301" s="29"/>
      <c r="R301" s="29"/>
      <c r="S301" s="30" t="str">
        <v>TRX0001</v>
      </c>
      <c r="T301" s="30">
        <v>45528</v>
      </c>
      <c r="U301" s="30" t="str">
        <v>CUST039</v>
      </c>
      <c r="V301" s="30" t="str">
        <v>Lawrence Reed</v>
      </c>
      <c r="W301" s="30" t="str">
        <v>P004</v>
      </c>
      <c r="X301" s="30" t="str">
        <v>Coffee Maker</v>
      </c>
      <c r="Y301" s="30" t="str">
        <v>Appliances</v>
      </c>
      <c r="Z301" s="30">
        <v>3</v>
      </c>
      <c r="AA301" s="30">
        <v>79.989999999999995</v>
      </c>
      <c r="AB301" s="30" t="str">
        <v>Cash</v>
      </c>
      <c r="AC301" s="30" t="str">
        <v>Central</v>
      </c>
      <c r="AD301" s="30" t="str">
        <v>Premium</v>
      </c>
      <c r="AE301" s="30">
        <v>44779</v>
      </c>
      <c r="AF301" s="30">
        <v>239.97</v>
      </c>
    </row>
    <row r="302" spans="3:32" x14ac:dyDescent="0.35">
      <c r="C302" s="72"/>
      <c r="D302" s="72"/>
      <c r="E302" s="72"/>
      <c r="F302" s="72"/>
      <c r="G302" s="72"/>
      <c r="H302" s="72"/>
      <c r="I302" s="72"/>
      <c r="J302" s="72"/>
      <c r="K302" s="72"/>
      <c r="L302" s="72"/>
      <c r="M302" s="72"/>
      <c r="N302" s="72"/>
      <c r="O302" s="72"/>
      <c r="P302" s="72"/>
      <c r="Q302" s="29"/>
      <c r="R302" s="29"/>
      <c r="S302" s="30" t="str">
        <v>TRX0058</v>
      </c>
      <c r="T302" s="30">
        <v>45532</v>
      </c>
      <c r="U302" s="30" t="str">
        <v>CUST047</v>
      </c>
      <c r="V302" s="30" t="str">
        <v>Gerald Murphy</v>
      </c>
      <c r="W302" s="30" t="str">
        <v>P002</v>
      </c>
      <c r="X302" s="30" t="str">
        <v>Smartphone</v>
      </c>
      <c r="Y302" s="30" t="str">
        <v>Electronics</v>
      </c>
      <c r="Z302" s="30">
        <v>1</v>
      </c>
      <c r="AA302" s="30">
        <v>699.99</v>
      </c>
      <c r="AB302" s="30" t="str">
        <v>Cash</v>
      </c>
      <c r="AC302" s="30" t="str">
        <v>Central</v>
      </c>
      <c r="AD302" s="30" t="str">
        <v>Premium</v>
      </c>
      <c r="AE302" s="30">
        <v>44497</v>
      </c>
      <c r="AF302" s="30">
        <v>699.99</v>
      </c>
    </row>
    <row r="303" spans="3:32" x14ac:dyDescent="0.35">
      <c r="C303" s="72"/>
      <c r="D303" s="72"/>
      <c r="E303" s="72"/>
      <c r="F303" s="72"/>
      <c r="G303" s="72"/>
      <c r="H303" s="72"/>
      <c r="I303" s="72"/>
      <c r="J303" s="72"/>
      <c r="K303" s="72"/>
      <c r="L303" s="72"/>
      <c r="M303" s="72"/>
      <c r="N303" s="72"/>
      <c r="O303" s="72"/>
      <c r="P303" s="72"/>
      <c r="Q303" s="29"/>
      <c r="R303" s="29"/>
      <c r="S303" s="30" t="str">
        <v>TRX0170</v>
      </c>
      <c r="T303" s="30">
        <v>45532</v>
      </c>
      <c r="U303" s="30" t="str">
        <v>CUST034</v>
      </c>
      <c r="V303" s="30" t="str">
        <v>Carol Evans</v>
      </c>
      <c r="W303" s="30" t="str">
        <v>P003</v>
      </c>
      <c r="X303" s="30" t="str">
        <v>Headphones</v>
      </c>
      <c r="Y303" s="30" t="str">
        <v>Electronics</v>
      </c>
      <c r="Z303" s="30">
        <v>3</v>
      </c>
      <c r="AA303" s="30">
        <v>149.99</v>
      </c>
      <c r="AB303" s="30" t="str">
        <v>Cash</v>
      </c>
      <c r="AC303" s="30" t="str">
        <v>West</v>
      </c>
      <c r="AD303" s="30" t="str">
        <v>Premium</v>
      </c>
      <c r="AE303" s="30">
        <v>45212</v>
      </c>
      <c r="AF303" s="30">
        <v>449.97</v>
      </c>
    </row>
    <row r="304" spans="3:32" x14ac:dyDescent="0.35">
      <c r="C304" s="72"/>
      <c r="D304" s="72"/>
      <c r="E304" s="72"/>
      <c r="F304" s="72"/>
      <c r="G304" s="72"/>
      <c r="H304" s="72"/>
      <c r="I304" s="72"/>
      <c r="J304" s="72"/>
      <c r="K304" s="72"/>
      <c r="L304" s="72"/>
      <c r="M304" s="72"/>
      <c r="N304" s="72"/>
      <c r="O304" s="72"/>
      <c r="P304" s="72"/>
      <c r="Q304" s="29"/>
      <c r="R304" s="29"/>
      <c r="S304" s="30" t="str">
        <v>TRX0248</v>
      </c>
      <c r="T304" s="30">
        <v>45534</v>
      </c>
      <c r="U304" s="30" t="str">
        <v>CUST032</v>
      </c>
      <c r="V304" s="30" t="str">
        <v>Sandra Phillips</v>
      </c>
      <c r="W304" s="30" t="str">
        <v>P002</v>
      </c>
      <c r="X304" s="30" t="str">
        <v>Smartphone</v>
      </c>
      <c r="Y304" s="30" t="str">
        <v>Electronics</v>
      </c>
      <c r="Z304" s="30">
        <v>2</v>
      </c>
      <c r="AA304" s="30">
        <v>699.99</v>
      </c>
      <c r="AB304" s="30" t="str">
        <v>Credit Card</v>
      </c>
      <c r="AC304" s="30" t="str">
        <v>North</v>
      </c>
      <c r="AD304" s="30" t="str">
        <v>Premium</v>
      </c>
      <c r="AE304" s="30">
        <v>44421</v>
      </c>
      <c r="AF304" s="30">
        <v>1399.98</v>
      </c>
    </row>
    <row r="305" spans="3:32" x14ac:dyDescent="0.35">
      <c r="C305" s="72"/>
      <c r="D305" s="72"/>
      <c r="E305" s="72"/>
      <c r="F305" s="72"/>
      <c r="G305" s="72"/>
      <c r="H305" s="72"/>
      <c r="I305" s="72"/>
      <c r="J305" s="72"/>
      <c r="K305" s="72"/>
      <c r="L305" s="72"/>
      <c r="M305" s="72"/>
      <c r="N305" s="72"/>
      <c r="O305" s="72"/>
      <c r="P305" s="72"/>
      <c r="Q305" s="29"/>
      <c r="R305" s="29"/>
      <c r="S305" s="30" t="str">
        <v>TRX0099</v>
      </c>
      <c r="T305" s="30">
        <v>45537</v>
      </c>
      <c r="U305" s="30" t="str">
        <v>CUST034</v>
      </c>
      <c r="V305" s="30" t="str">
        <v>Carol Evans</v>
      </c>
      <c r="W305" s="30" t="str">
        <v>P009</v>
      </c>
      <c r="X305" s="30" t="str">
        <v>Monitor</v>
      </c>
      <c r="Y305" s="30" t="str">
        <v>Electronics</v>
      </c>
      <c r="Z305" s="30">
        <v>1</v>
      </c>
      <c r="AA305" s="30">
        <v>249.99</v>
      </c>
      <c r="AB305" s="30" t="str">
        <v>Credit Card</v>
      </c>
      <c r="AC305" s="30" t="str">
        <v>West</v>
      </c>
      <c r="AD305" s="30" t="str">
        <v>Premium</v>
      </c>
      <c r="AE305" s="30">
        <v>44685</v>
      </c>
      <c r="AF305" s="30">
        <v>249.99</v>
      </c>
    </row>
    <row r="306" spans="3:32" x14ac:dyDescent="0.35">
      <c r="C306" s="72"/>
      <c r="D306" s="72"/>
      <c r="E306" s="72"/>
      <c r="F306" s="72"/>
      <c r="G306" s="72"/>
      <c r="H306" s="72"/>
      <c r="I306" s="72"/>
      <c r="J306" s="72"/>
      <c r="K306" s="72"/>
      <c r="L306" s="72"/>
      <c r="M306" s="72"/>
      <c r="N306" s="72"/>
      <c r="O306" s="72"/>
      <c r="P306" s="72"/>
      <c r="Q306" s="29"/>
      <c r="R306" s="29"/>
      <c r="S306" s="30" t="str">
        <v>TRX0074</v>
      </c>
      <c r="T306" s="30">
        <v>45537</v>
      </c>
      <c r="U306" s="30" t="str">
        <v>CUST023</v>
      </c>
      <c r="V306" s="30" t="str">
        <v>Paul Baker</v>
      </c>
      <c r="W306" s="30" t="str">
        <v>P009</v>
      </c>
      <c r="X306" s="30" t="str">
        <v>Monitor</v>
      </c>
      <c r="Y306" s="30" t="str">
        <v>Electronics</v>
      </c>
      <c r="Z306" s="30">
        <v>1</v>
      </c>
      <c r="AA306" s="30">
        <v>249.99</v>
      </c>
      <c r="AB306" s="30" t="str">
        <v>Debit Card</v>
      </c>
      <c r="AC306" s="30" t="str">
        <v>North</v>
      </c>
      <c r="AD306" s="30" t="str">
        <v>Premium</v>
      </c>
      <c r="AE306" s="30">
        <v>45332</v>
      </c>
      <c r="AF306" s="30">
        <v>249.99</v>
      </c>
    </row>
    <row r="307" spans="3:32" x14ac:dyDescent="0.35">
      <c r="C307" s="72"/>
      <c r="D307" s="72"/>
      <c r="E307" s="72"/>
      <c r="F307" s="72"/>
      <c r="G307" s="72"/>
      <c r="H307" s="72"/>
      <c r="I307" s="72"/>
      <c r="J307" s="72"/>
      <c r="K307" s="72"/>
      <c r="L307" s="72"/>
      <c r="M307" s="72"/>
      <c r="N307" s="72"/>
      <c r="O307" s="72"/>
      <c r="P307" s="72"/>
      <c r="Q307" s="29"/>
      <c r="R307" s="29"/>
      <c r="S307" s="30" t="str">
        <v>TRX0225</v>
      </c>
      <c r="T307" s="30">
        <v>45538</v>
      </c>
      <c r="U307" s="30" t="str">
        <v>CUST039</v>
      </c>
      <c r="V307" s="30" t="str">
        <v>Lawrence Reed</v>
      </c>
      <c r="W307" s="30" t="str">
        <v>P002</v>
      </c>
      <c r="X307" s="30" t="str">
        <v>Smartphone</v>
      </c>
      <c r="Y307" s="30" t="str">
        <v>Electronics</v>
      </c>
      <c r="Z307" s="30">
        <v>2</v>
      </c>
      <c r="AA307" s="30">
        <v>699.99</v>
      </c>
      <c r="AB307" s="30" t="str">
        <v>Debit Card</v>
      </c>
      <c r="AC307" s="30" t="str">
        <v>Central</v>
      </c>
      <c r="AD307" s="30" t="str">
        <v>Premium</v>
      </c>
      <c r="AE307" s="30">
        <v>44870</v>
      </c>
      <c r="AF307" s="30">
        <v>1399.98</v>
      </c>
    </row>
    <row r="308" spans="3:32" x14ac:dyDescent="0.35">
      <c r="C308" s="72"/>
      <c r="D308" s="72"/>
      <c r="E308" s="72"/>
      <c r="F308" s="72"/>
      <c r="G308" s="72"/>
      <c r="H308" s="72"/>
      <c r="I308" s="72"/>
      <c r="J308" s="72"/>
      <c r="K308" s="72"/>
      <c r="L308" s="72"/>
      <c r="M308" s="72"/>
      <c r="N308" s="72"/>
      <c r="O308" s="72"/>
      <c r="P308" s="72"/>
      <c r="Q308" s="29"/>
      <c r="R308" s="29"/>
      <c r="S308" s="30" t="str">
        <v>TRX0100</v>
      </c>
      <c r="T308" s="30">
        <v>45541</v>
      </c>
      <c r="U308" s="30" t="str">
        <v>CUST031</v>
      </c>
      <c r="V308" s="30" t="str">
        <v>Steven Turner</v>
      </c>
      <c r="W308" s="30" t="str">
        <v>P005</v>
      </c>
      <c r="X308" s="30" t="str">
        <v>Blender</v>
      </c>
      <c r="Y308" s="30" t="str">
        <v>Appliances</v>
      </c>
      <c r="Z308" s="30">
        <v>3</v>
      </c>
      <c r="AA308" s="30">
        <v>59.99</v>
      </c>
      <c r="AB308" s="30" t="str">
        <v>Credit Card</v>
      </c>
      <c r="AC308" s="30" t="str">
        <v>Central</v>
      </c>
      <c r="AD308" s="30" t="str">
        <v>Premium</v>
      </c>
      <c r="AE308" s="30">
        <v>44717</v>
      </c>
      <c r="AF308" s="30">
        <v>179.97</v>
      </c>
    </row>
    <row r="309" spans="3:32" x14ac:dyDescent="0.35">
      <c r="C309" s="72"/>
      <c r="D309" s="72"/>
      <c r="E309" s="72"/>
      <c r="F309" s="72"/>
      <c r="G309" s="72"/>
      <c r="H309" s="72"/>
      <c r="I309" s="72"/>
      <c r="J309" s="72"/>
      <c r="K309" s="72"/>
      <c r="L309" s="72"/>
      <c r="M309" s="72"/>
      <c r="N309" s="72"/>
      <c r="O309" s="72"/>
      <c r="P309" s="72"/>
      <c r="Q309" s="29"/>
      <c r="R309" s="29"/>
      <c r="S309" s="30" t="str">
        <v>TRX0108</v>
      </c>
      <c r="T309" s="30">
        <v>45547</v>
      </c>
      <c r="U309" s="30" t="str">
        <v>CUST024</v>
      </c>
      <c r="V309" s="30" t="str">
        <v>Dorothy Nelson</v>
      </c>
      <c r="W309" s="30" t="str">
        <v>P007</v>
      </c>
      <c r="X309" s="30" t="str">
        <v>Desk</v>
      </c>
      <c r="Y309" s="30" t="str">
        <v>Furniture</v>
      </c>
      <c r="Z309" s="30">
        <v>3</v>
      </c>
      <c r="AA309" s="30">
        <v>299.99</v>
      </c>
      <c r="AB309" s="30" t="str">
        <v>Credit Card</v>
      </c>
      <c r="AC309" s="30" t="str">
        <v>Central</v>
      </c>
      <c r="AD309" s="30" t="str">
        <v>Premium</v>
      </c>
      <c r="AE309" s="30">
        <v>44494</v>
      </c>
      <c r="AF309" s="30">
        <v>899.97</v>
      </c>
    </row>
    <row r="310" spans="3:32" x14ac:dyDescent="0.35">
      <c r="C310" s="72"/>
      <c r="D310" s="72"/>
      <c r="E310" s="72"/>
      <c r="F310" s="72"/>
      <c r="G310" s="72"/>
      <c r="H310" s="72"/>
      <c r="I310" s="72"/>
      <c r="J310" s="72"/>
      <c r="K310" s="72"/>
      <c r="L310" s="72"/>
      <c r="M310" s="72"/>
      <c r="N310" s="72"/>
      <c r="O310" s="72"/>
      <c r="P310" s="72"/>
      <c r="Q310" s="29"/>
      <c r="R310" s="29"/>
      <c r="S310" s="30" t="str">
        <v>TRX0211</v>
      </c>
      <c r="T310" s="30">
        <v>45548</v>
      </c>
      <c r="U310" s="30" t="str">
        <v>CUST046</v>
      </c>
      <c r="V310" s="30" t="str">
        <v>Kathleen Bennett</v>
      </c>
      <c r="W310" s="30" t="str">
        <v>P010</v>
      </c>
      <c r="X310" s="30" t="str">
        <v>Keyboard</v>
      </c>
      <c r="Y310" s="30" t="str">
        <v>Electronics</v>
      </c>
      <c r="Z310" s="30">
        <v>2</v>
      </c>
      <c r="AA310" s="30">
        <v>89.99</v>
      </c>
      <c r="AB310" s="30" t="str">
        <v>Credit Card</v>
      </c>
      <c r="AC310" s="30" t="str">
        <v>South</v>
      </c>
      <c r="AD310" s="30" t="str">
        <v>Premium</v>
      </c>
      <c r="AE310" s="30">
        <v>44641</v>
      </c>
      <c r="AF310" s="30">
        <v>179.98</v>
      </c>
    </row>
    <row r="311" spans="3:32" x14ac:dyDescent="0.35">
      <c r="C311" s="72"/>
      <c r="D311" s="72"/>
      <c r="E311" s="72"/>
      <c r="F311" s="72"/>
      <c r="G311" s="72"/>
      <c r="H311" s="72"/>
      <c r="I311" s="72"/>
      <c r="J311" s="72"/>
      <c r="K311" s="72"/>
      <c r="L311" s="72"/>
      <c r="M311" s="72"/>
      <c r="N311" s="72"/>
      <c r="O311" s="72"/>
      <c r="P311" s="72"/>
      <c r="Q311" s="29"/>
      <c r="R311" s="29"/>
      <c r="S311" s="30" t="str">
        <v>TRX0077</v>
      </c>
      <c r="T311" s="30">
        <v>45554</v>
      </c>
      <c r="U311" s="30" t="str">
        <v>CUST019</v>
      </c>
      <c r="V311" s="30" t="str">
        <v>Daniel King</v>
      </c>
      <c r="W311" s="30" t="str">
        <v>P010</v>
      </c>
      <c r="X311" s="30" t="str">
        <v>Keyboard</v>
      </c>
      <c r="Y311" s="30" t="str">
        <v>Electronics</v>
      </c>
      <c r="Z311" s="30">
        <v>5</v>
      </c>
      <c r="AA311" s="30">
        <v>89.99</v>
      </c>
      <c r="AB311" s="30" t="str">
        <v>Credit Card</v>
      </c>
      <c r="AC311" s="30" t="str">
        <v>East</v>
      </c>
      <c r="AD311" s="30" t="str">
        <v>Premium</v>
      </c>
      <c r="AE311" s="30">
        <v>44446</v>
      </c>
      <c r="AF311" s="30">
        <v>449.95</v>
      </c>
    </row>
    <row r="312" spans="3:32" x14ac:dyDescent="0.35">
      <c r="C312" s="72"/>
      <c r="D312" s="72"/>
      <c r="E312" s="72"/>
      <c r="F312" s="72"/>
      <c r="G312" s="72"/>
      <c r="H312" s="72"/>
      <c r="I312" s="72"/>
      <c r="J312" s="72"/>
      <c r="K312" s="72"/>
      <c r="L312" s="72"/>
      <c r="M312" s="72"/>
      <c r="N312" s="72"/>
      <c r="O312" s="72"/>
      <c r="P312" s="72"/>
      <c r="Q312" s="29"/>
      <c r="R312" s="29"/>
      <c r="S312" s="30" t="str">
        <v>TRX0174</v>
      </c>
      <c r="T312" s="30">
        <v>45566</v>
      </c>
      <c r="U312" s="30" t="str">
        <v>CUST003</v>
      </c>
      <c r="V312" s="30" t="str">
        <v>Michael Brown</v>
      </c>
      <c r="W312" s="30" t="str">
        <v>P007</v>
      </c>
      <c r="X312" s="30" t="str">
        <v>Desk</v>
      </c>
      <c r="Y312" s="30" t="str">
        <v>Furniture</v>
      </c>
      <c r="Z312" s="30">
        <v>4</v>
      </c>
      <c r="AA312" s="30">
        <v>299.99</v>
      </c>
      <c r="AB312" s="30" t="str">
        <v>Cash</v>
      </c>
      <c r="AC312" s="30" t="str">
        <v>Central</v>
      </c>
      <c r="AD312" s="30" t="str">
        <v>Premium</v>
      </c>
      <c r="AE312" s="30">
        <v>44460</v>
      </c>
      <c r="AF312" s="30">
        <v>1199.96</v>
      </c>
    </row>
    <row r="313" spans="3:32" x14ac:dyDescent="0.35">
      <c r="C313" s="72"/>
      <c r="D313" s="72"/>
      <c r="E313" s="72"/>
      <c r="F313" s="72"/>
      <c r="G313" s="72"/>
      <c r="H313" s="72"/>
      <c r="I313" s="72"/>
      <c r="J313" s="72"/>
      <c r="K313" s="72"/>
      <c r="L313" s="72"/>
      <c r="M313" s="72"/>
      <c r="N313" s="72"/>
      <c r="O313" s="72"/>
      <c r="P313" s="72"/>
      <c r="Q313" s="29"/>
      <c r="R313" s="29"/>
      <c r="S313" s="30" t="str">
        <v>TRX0203</v>
      </c>
      <c r="T313" s="30">
        <v>45572</v>
      </c>
      <c r="U313" s="30" t="str">
        <v>CUST032</v>
      </c>
      <c r="V313" s="30" t="str">
        <v>Sandra Phillips</v>
      </c>
      <c r="W313" s="30" t="str">
        <v>P003</v>
      </c>
      <c r="X313" s="30" t="str">
        <v>Headphones</v>
      </c>
      <c r="Y313" s="30" t="str">
        <v>Electronics</v>
      </c>
      <c r="Z313" s="30">
        <v>4</v>
      </c>
      <c r="AA313" s="30">
        <v>149.99</v>
      </c>
      <c r="AB313" s="30" t="str">
        <v>Credit Card</v>
      </c>
      <c r="AC313" s="30" t="str">
        <v>North</v>
      </c>
      <c r="AD313" s="30" t="str">
        <v>Premium</v>
      </c>
      <c r="AE313" s="30">
        <v>45076</v>
      </c>
      <c r="AF313" s="30">
        <v>599.96</v>
      </c>
    </row>
    <row r="314" spans="3:32" x14ac:dyDescent="0.35">
      <c r="C314" s="72"/>
      <c r="D314" s="72"/>
      <c r="E314" s="72"/>
      <c r="F314" s="72"/>
      <c r="G314" s="72"/>
      <c r="H314" s="72"/>
      <c r="I314" s="72"/>
      <c r="J314" s="72"/>
      <c r="K314" s="72"/>
      <c r="L314" s="72"/>
      <c r="M314" s="72"/>
      <c r="N314" s="72"/>
      <c r="O314" s="72"/>
      <c r="P314" s="72"/>
      <c r="Q314" s="29"/>
      <c r="R314" s="29"/>
      <c r="S314" s="30" t="str">
        <v>TRX0055</v>
      </c>
      <c r="T314" s="30">
        <v>45573</v>
      </c>
      <c r="U314" s="30" t="str">
        <v>CUST016</v>
      </c>
      <c r="V314" s="30" t="str">
        <v>Elizabeth Hall</v>
      </c>
      <c r="W314" s="30" t="str">
        <v>P002</v>
      </c>
      <c r="X314" s="30" t="str">
        <v>Smartphone</v>
      </c>
      <c r="Y314" s="30" t="str">
        <v>Electronics</v>
      </c>
      <c r="Z314" s="30">
        <v>2</v>
      </c>
      <c r="AA314" s="30">
        <v>699.99</v>
      </c>
      <c r="AB314" s="30" t="str">
        <v>Debit Card</v>
      </c>
      <c r="AC314" s="30" t="str">
        <v>East</v>
      </c>
      <c r="AD314" s="30" t="str">
        <v>Premium</v>
      </c>
      <c r="AE314" s="30">
        <v>45274</v>
      </c>
      <c r="AF314" s="30">
        <v>1399.98</v>
      </c>
    </row>
    <row r="315" spans="3:32" x14ac:dyDescent="0.35">
      <c r="C315" s="72"/>
      <c r="D315" s="72"/>
      <c r="E315" s="72"/>
      <c r="F315" s="72"/>
      <c r="G315" s="72"/>
      <c r="H315" s="72"/>
      <c r="I315" s="72"/>
      <c r="J315" s="72"/>
      <c r="K315" s="72"/>
      <c r="L315" s="72"/>
      <c r="M315" s="72"/>
      <c r="N315" s="72"/>
      <c r="O315" s="72"/>
      <c r="P315" s="72"/>
      <c r="Q315" s="29"/>
      <c r="R315" s="29"/>
      <c r="S315" s="30" t="str">
        <v>TRX0167</v>
      </c>
      <c r="T315" s="30">
        <v>45589</v>
      </c>
      <c r="U315" s="30" t="str">
        <v>CUST028</v>
      </c>
      <c r="V315" s="30" t="str">
        <v>Betty Campbell</v>
      </c>
      <c r="W315" s="30" t="str">
        <v>P002</v>
      </c>
      <c r="X315" s="30" t="str">
        <v>Smartphone</v>
      </c>
      <c r="Y315" s="30" t="str">
        <v>Electronics</v>
      </c>
      <c r="Z315" s="30">
        <v>5</v>
      </c>
      <c r="AA315" s="30">
        <v>699.99</v>
      </c>
      <c r="AB315" s="30" t="str">
        <v>Cash</v>
      </c>
      <c r="AC315" s="30" t="str">
        <v>North</v>
      </c>
      <c r="AD315" s="30" t="str">
        <v>Premium</v>
      </c>
      <c r="AE315" s="30">
        <v>44635</v>
      </c>
      <c r="AF315" s="30">
        <v>3499.95</v>
      </c>
    </row>
    <row r="316" spans="3:32" x14ac:dyDescent="0.35">
      <c r="C316" s="72"/>
      <c r="D316" s="72"/>
      <c r="E316" s="72"/>
      <c r="F316" s="72"/>
      <c r="G316" s="72"/>
      <c r="H316" s="72"/>
      <c r="I316" s="72"/>
      <c r="J316" s="72"/>
      <c r="K316" s="72"/>
      <c r="L316" s="72"/>
      <c r="M316" s="72"/>
      <c r="N316" s="72"/>
      <c r="O316" s="72"/>
      <c r="P316" s="72"/>
      <c r="Q316" s="29"/>
      <c r="R316" s="29"/>
      <c r="S316" s="30" t="str">
        <v>TRX0060</v>
      </c>
      <c r="T316" s="30">
        <v>45603</v>
      </c>
      <c r="U316" s="30" t="str">
        <v>CUST012</v>
      </c>
      <c r="V316" s="30" t="str">
        <v>Patricia Moore</v>
      </c>
      <c r="W316" s="30" t="str">
        <v>P010</v>
      </c>
      <c r="X316" s="30" t="str">
        <v>Keyboard</v>
      </c>
      <c r="Y316" s="30" t="str">
        <v>Electronics</v>
      </c>
      <c r="Z316" s="30">
        <v>3</v>
      </c>
      <c r="AA316" s="30">
        <v>89.99</v>
      </c>
      <c r="AB316" s="30" t="str">
        <v>Credit Card</v>
      </c>
      <c r="AC316" s="30" t="str">
        <v>North</v>
      </c>
      <c r="AD316" s="30" t="str">
        <v>Premium</v>
      </c>
      <c r="AE316" s="30">
        <v>44420</v>
      </c>
      <c r="AF316" s="30">
        <v>269.97000000000003</v>
      </c>
    </row>
    <row r="317" spans="3:32" x14ac:dyDescent="0.35">
      <c r="C317" s="72"/>
      <c r="D317" s="72"/>
      <c r="E317" s="72"/>
      <c r="F317" s="72"/>
      <c r="G317" s="72"/>
      <c r="H317" s="72"/>
      <c r="I317" s="72"/>
      <c r="J317" s="72"/>
      <c r="K317" s="72"/>
      <c r="L317" s="72"/>
      <c r="M317" s="72"/>
      <c r="N317" s="72"/>
      <c r="O317" s="72"/>
      <c r="P317" s="72"/>
      <c r="Q317" s="29"/>
      <c r="R317" s="29"/>
      <c r="S317" s="30" t="str">
        <v>TRX0109</v>
      </c>
      <c r="T317" s="30">
        <v>45604</v>
      </c>
      <c r="U317" s="30" t="str">
        <v>CUST010</v>
      </c>
      <c r="V317" s="30" t="str">
        <v>Maria Garcia</v>
      </c>
      <c r="W317" s="30" t="str">
        <v>P008</v>
      </c>
      <c r="X317" s="30" t="str">
        <v>Bookshelf</v>
      </c>
      <c r="Y317" s="30" t="str">
        <v>Furniture</v>
      </c>
      <c r="Z317" s="30">
        <v>2</v>
      </c>
      <c r="AA317" s="30">
        <v>149.99</v>
      </c>
      <c r="AB317" s="30" t="str">
        <v>Credit Card</v>
      </c>
      <c r="AC317" s="30" t="str">
        <v>West</v>
      </c>
      <c r="AD317" s="30" t="str">
        <v>Premium</v>
      </c>
      <c r="AE317" s="30">
        <v>44848</v>
      </c>
      <c r="AF317" s="30">
        <v>299.98</v>
      </c>
    </row>
    <row r="318" spans="3:32" x14ac:dyDescent="0.35">
      <c r="C318" s="72"/>
      <c r="D318" s="72"/>
      <c r="E318" s="72"/>
      <c r="F318" s="72"/>
      <c r="G318" s="72"/>
      <c r="H318" s="72"/>
      <c r="I318" s="72"/>
      <c r="J318" s="72"/>
      <c r="K318" s="72"/>
      <c r="L318" s="72"/>
      <c r="M318" s="72"/>
      <c r="N318" s="72"/>
      <c r="O318" s="72"/>
      <c r="P318" s="72"/>
      <c r="Q318" s="29"/>
      <c r="R318" s="29"/>
      <c r="S318" s="30" t="str">
        <v>TRX0090</v>
      </c>
      <c r="T318" s="30">
        <v>45605</v>
      </c>
      <c r="U318" s="30" t="str">
        <v>CUST020</v>
      </c>
      <c r="V318" s="30" t="str">
        <v>Margaret Wright</v>
      </c>
      <c r="W318" s="30" t="str">
        <v>P009</v>
      </c>
      <c r="X318" s="30" t="str">
        <v>Monitor</v>
      </c>
      <c r="Y318" s="30" t="str">
        <v>Electronics</v>
      </c>
      <c r="Z318" s="30">
        <v>1</v>
      </c>
      <c r="AA318" s="30">
        <v>249.99</v>
      </c>
      <c r="AB318" s="30" t="str">
        <v>Credit Card</v>
      </c>
      <c r="AC318" s="30" t="str">
        <v>North</v>
      </c>
      <c r="AD318" s="30" t="str">
        <v>Premium</v>
      </c>
      <c r="AE318" s="30">
        <v>44828</v>
      </c>
      <c r="AF318" s="30">
        <v>249.99</v>
      </c>
    </row>
    <row r="319" spans="3:32" x14ac:dyDescent="0.35">
      <c r="C319" s="72"/>
      <c r="D319" s="72"/>
      <c r="E319" s="72"/>
      <c r="F319" s="72"/>
      <c r="G319" s="72"/>
      <c r="H319" s="72"/>
      <c r="I319" s="72"/>
      <c r="J319" s="72"/>
      <c r="K319" s="72"/>
      <c r="L319" s="72"/>
      <c r="M319" s="72"/>
      <c r="N319" s="72"/>
      <c r="O319" s="72"/>
      <c r="P319" s="72"/>
      <c r="Q319" s="29"/>
      <c r="R319" s="29"/>
      <c r="S319" s="30" t="str">
        <v>TRX0172</v>
      </c>
      <c r="T319" s="30">
        <v>45607</v>
      </c>
      <c r="U319" s="30" t="str">
        <v>CUST023</v>
      </c>
      <c r="V319" s="30" t="str">
        <v>Paul Baker</v>
      </c>
      <c r="W319" s="30" t="str">
        <v>P005</v>
      </c>
      <c r="X319" s="30" t="str">
        <v>Blender</v>
      </c>
      <c r="Y319" s="30" t="str">
        <v>Appliances</v>
      </c>
      <c r="Z319" s="30">
        <v>5</v>
      </c>
      <c r="AA319" s="30">
        <v>59.99</v>
      </c>
      <c r="AB319" s="30" t="str">
        <v>PayPal</v>
      </c>
      <c r="AC319" s="30" t="str">
        <v>West</v>
      </c>
      <c r="AD319" s="30" t="str">
        <v>Premium</v>
      </c>
      <c r="AE319" s="30">
        <v>44694</v>
      </c>
      <c r="AF319" s="30">
        <v>299.95</v>
      </c>
    </row>
    <row r="320" spans="3:32" x14ac:dyDescent="0.35">
      <c r="C320" s="72"/>
      <c r="D320" s="72"/>
      <c r="E320" s="72"/>
      <c r="F320" s="72"/>
      <c r="G320" s="72"/>
      <c r="H320" s="72"/>
      <c r="I320" s="72"/>
      <c r="J320" s="72"/>
      <c r="K320" s="72"/>
      <c r="L320" s="72"/>
      <c r="M320" s="72"/>
      <c r="N320" s="72"/>
      <c r="O320" s="72"/>
      <c r="P320" s="72"/>
      <c r="Q320" s="29"/>
      <c r="R320" s="29"/>
      <c r="S320" s="30" t="str">
        <v>TRX0160</v>
      </c>
      <c r="T320" s="30">
        <v>45617</v>
      </c>
      <c r="U320" s="30" t="str">
        <v>CUST029</v>
      </c>
      <c r="V320" s="30" t="str">
        <v>Edward Mitchell</v>
      </c>
      <c r="W320" s="30" t="str">
        <v>P006</v>
      </c>
      <c r="X320" s="30" t="str">
        <v>Office Chair</v>
      </c>
      <c r="Y320" s="30" t="str">
        <v>Furniture</v>
      </c>
      <c r="Z320" s="30">
        <v>4</v>
      </c>
      <c r="AA320" s="30">
        <v>199.99</v>
      </c>
      <c r="AB320" s="30" t="str">
        <v>Debit Card</v>
      </c>
      <c r="AC320" s="30" t="str">
        <v>Central</v>
      </c>
      <c r="AD320" s="30" t="str">
        <v>Premium</v>
      </c>
      <c r="AE320" s="30">
        <v>44427</v>
      </c>
      <c r="AF320" s="30">
        <v>799.96</v>
      </c>
    </row>
    <row r="321" spans="3:32" x14ac:dyDescent="0.35">
      <c r="C321" s="72"/>
      <c r="D321" s="72"/>
      <c r="E321" s="72"/>
      <c r="F321" s="72"/>
      <c r="G321" s="72"/>
      <c r="H321" s="72"/>
      <c r="I321" s="72"/>
      <c r="J321" s="72"/>
      <c r="K321" s="72"/>
      <c r="L321" s="72"/>
      <c r="M321" s="72"/>
      <c r="N321" s="72"/>
      <c r="O321" s="72"/>
      <c r="P321" s="72"/>
      <c r="Q321" s="29"/>
      <c r="R321" s="29"/>
      <c r="S321" s="30" t="str">
        <v>TRX0045</v>
      </c>
      <c r="T321" s="30">
        <v>45627</v>
      </c>
      <c r="U321" s="30" t="str">
        <v>CUST021</v>
      </c>
      <c r="V321" s="30" t="str">
        <v>Kevin Scott</v>
      </c>
      <c r="W321" s="30" t="str">
        <v>P007</v>
      </c>
      <c r="X321" s="30" t="str">
        <v>Desk</v>
      </c>
      <c r="Y321" s="30" t="str">
        <v>Furniture</v>
      </c>
      <c r="Z321" s="30">
        <v>3</v>
      </c>
      <c r="AA321" s="30">
        <v>299.99</v>
      </c>
      <c r="AB321" s="30" t="str">
        <v>Cash</v>
      </c>
      <c r="AC321" s="30" t="str">
        <v>South</v>
      </c>
      <c r="AD321" s="30" t="str">
        <v>Premium</v>
      </c>
      <c r="AE321" s="30">
        <v>44659</v>
      </c>
      <c r="AF321" s="30">
        <v>899.97</v>
      </c>
    </row>
    <row r="322" spans="3:32" x14ac:dyDescent="0.35">
      <c r="C322" s="72"/>
      <c r="D322" s="72"/>
      <c r="E322" s="72"/>
      <c r="F322" s="72"/>
      <c r="G322" s="72"/>
      <c r="H322" s="72"/>
      <c r="I322" s="72"/>
      <c r="J322" s="72"/>
      <c r="K322" s="72"/>
      <c r="L322" s="72"/>
      <c r="M322" s="72"/>
      <c r="N322" s="72"/>
      <c r="O322" s="72"/>
      <c r="P322" s="72"/>
      <c r="Q322" s="29"/>
      <c r="R322" s="29"/>
      <c r="S322" s="30" t="str">
        <v>TRX0094</v>
      </c>
      <c r="T322" s="30">
        <v>45627</v>
      </c>
      <c r="U322" s="30" t="str">
        <v>CUST017</v>
      </c>
      <c r="V322" s="30" t="str">
        <v>Charles Allen</v>
      </c>
      <c r="W322" s="30" t="str">
        <v>P009</v>
      </c>
      <c r="X322" s="30" t="str">
        <v>Monitor</v>
      </c>
      <c r="Y322" s="30" t="str">
        <v>Electronics</v>
      </c>
      <c r="Z322" s="30">
        <v>5</v>
      </c>
      <c r="AA322" s="30">
        <v>249.99</v>
      </c>
      <c r="AB322" s="30" t="str">
        <v>Cash</v>
      </c>
      <c r="AC322" s="30" t="str">
        <v>Central</v>
      </c>
      <c r="AD322" s="30" t="str">
        <v>Premium</v>
      </c>
      <c r="AE322" s="30">
        <v>44485</v>
      </c>
      <c r="AF322" s="30">
        <v>1249.95</v>
      </c>
    </row>
    <row r="323" spans="3:32" x14ac:dyDescent="0.35">
      <c r="C323" s="72"/>
      <c r="D323" s="72"/>
      <c r="E323" s="72"/>
      <c r="F323" s="72"/>
      <c r="G323" s="72"/>
      <c r="H323" s="72"/>
      <c r="I323" s="72"/>
      <c r="J323" s="72"/>
      <c r="K323" s="72"/>
      <c r="L323" s="72"/>
      <c r="M323" s="72"/>
      <c r="N323" s="72"/>
      <c r="O323" s="72"/>
      <c r="P323" s="72"/>
      <c r="Q323" s="29"/>
      <c r="R323" s="29"/>
      <c r="S323" s="30" t="str">
        <v>TRX0133</v>
      </c>
      <c r="T323" s="30">
        <v>45627</v>
      </c>
      <c r="U323" s="30" t="str">
        <v>CUST013</v>
      </c>
      <c r="V323" s="30" t="str">
        <v>Joseph Jackson</v>
      </c>
      <c r="W323" s="30" t="str">
        <v>P003</v>
      </c>
      <c r="X323" s="30" t="str">
        <v>Headphones</v>
      </c>
      <c r="Y323" s="30" t="str">
        <v>Electronics</v>
      </c>
      <c r="Z323" s="30">
        <v>2</v>
      </c>
      <c r="AA323" s="30">
        <v>149.99</v>
      </c>
      <c r="AB323" s="30" t="str">
        <v>Cash</v>
      </c>
      <c r="AC323" s="30" t="str">
        <v>South</v>
      </c>
      <c r="AD323" s="30" t="str">
        <v>Premium</v>
      </c>
      <c r="AE323" s="30">
        <v>44475</v>
      </c>
      <c r="AF323" s="30">
        <v>299.98</v>
      </c>
    </row>
    <row r="324" spans="3:32" x14ac:dyDescent="0.35">
      <c r="C324" s="72"/>
      <c r="D324" s="72"/>
      <c r="E324" s="72"/>
      <c r="F324" s="72"/>
      <c r="G324" s="72"/>
      <c r="H324" s="72"/>
      <c r="I324" s="72"/>
      <c r="J324" s="72"/>
      <c r="K324" s="72"/>
      <c r="L324" s="72"/>
      <c r="M324" s="72"/>
      <c r="N324" s="72"/>
      <c r="O324" s="72"/>
      <c r="P324" s="72"/>
      <c r="Q324" s="29"/>
      <c r="R324" s="29"/>
      <c r="S324" s="30" t="str">
        <v>TRX0137</v>
      </c>
      <c r="T324" s="30">
        <v>45629</v>
      </c>
      <c r="U324" s="30" t="str">
        <v>CUST011</v>
      </c>
      <c r="V324" s="30" t="str">
        <v>William White</v>
      </c>
      <c r="W324" s="30" t="str">
        <v>P009</v>
      </c>
      <c r="X324" s="30" t="str">
        <v>Monitor</v>
      </c>
      <c r="Y324" s="30" t="str">
        <v>Electronics</v>
      </c>
      <c r="Z324" s="30">
        <v>4</v>
      </c>
      <c r="AA324" s="30">
        <v>249.99</v>
      </c>
      <c r="AB324" s="30" t="str">
        <v>PayPal</v>
      </c>
      <c r="AC324" s="30" t="str">
        <v>East</v>
      </c>
      <c r="AD324" s="30" t="str">
        <v>Premium</v>
      </c>
      <c r="AE324" s="30">
        <v>45098</v>
      </c>
      <c r="AF324" s="30">
        <v>999.96</v>
      </c>
    </row>
    <row r="325" spans="3:32" x14ac:dyDescent="0.35">
      <c r="C325" s="72"/>
      <c r="D325" s="72"/>
      <c r="E325" s="72"/>
      <c r="F325" s="72"/>
      <c r="G325" s="72"/>
      <c r="H325" s="72"/>
      <c r="I325" s="72"/>
      <c r="J325" s="72"/>
      <c r="K325" s="72"/>
      <c r="L325" s="72"/>
      <c r="M325" s="72"/>
      <c r="N325" s="72"/>
      <c r="O325" s="72"/>
      <c r="P325" s="72"/>
      <c r="Q325" s="29"/>
      <c r="R325" s="29"/>
      <c r="S325" s="30" t="str">
        <v>TRX0066</v>
      </c>
      <c r="T325" s="30">
        <v>45630</v>
      </c>
      <c r="U325" s="30" t="str">
        <v>CUST024</v>
      </c>
      <c r="V325" s="30" t="str">
        <v>Dorothy Nelson</v>
      </c>
      <c r="W325" s="30" t="str">
        <v>P002</v>
      </c>
      <c r="X325" s="30" t="str">
        <v>Smartphone</v>
      </c>
      <c r="Y325" s="30" t="str">
        <v>Electronics</v>
      </c>
      <c r="Z325" s="30">
        <v>4</v>
      </c>
      <c r="AA325" s="30">
        <v>699.99</v>
      </c>
      <c r="AB325" s="30" t="str">
        <v>Credit Card</v>
      </c>
      <c r="AC325" s="30" t="str">
        <v>North</v>
      </c>
      <c r="AD325" s="30" t="str">
        <v>Premium</v>
      </c>
      <c r="AE325" s="30">
        <v>44703</v>
      </c>
      <c r="AF325" s="30">
        <v>2799.96</v>
      </c>
    </row>
    <row r="326" spans="3:32" x14ac:dyDescent="0.35">
      <c r="C326" s="72"/>
      <c r="D326" s="72"/>
      <c r="E326" s="72"/>
      <c r="F326" s="72"/>
      <c r="G326" s="72"/>
      <c r="H326" s="72"/>
      <c r="I326" s="72"/>
      <c r="J326" s="72"/>
      <c r="K326" s="72"/>
      <c r="L326" s="72"/>
      <c r="M326" s="72"/>
      <c r="N326" s="72"/>
      <c r="O326" s="72"/>
      <c r="P326" s="72"/>
      <c r="Q326" s="29"/>
      <c r="R326" s="29"/>
      <c r="S326" s="30" t="str">
        <v>TRX0180</v>
      </c>
      <c r="T326" s="30">
        <v>45635</v>
      </c>
      <c r="U326" s="30" t="str">
        <v>CUST036</v>
      </c>
      <c r="V326" s="30" t="str">
        <v>Nancy Collins</v>
      </c>
      <c r="W326" s="30" t="str">
        <v>P009</v>
      </c>
      <c r="X326" s="30" t="str">
        <v>Monitor</v>
      </c>
      <c r="Y326" s="30" t="str">
        <v>Electronics</v>
      </c>
      <c r="Z326" s="30">
        <v>2</v>
      </c>
      <c r="AA326" s="30">
        <v>249.99</v>
      </c>
      <c r="AB326" s="30" t="str">
        <v>Credit Card</v>
      </c>
      <c r="AC326" s="30" t="str">
        <v>Central</v>
      </c>
      <c r="AD326" s="30" t="str">
        <v>Premium</v>
      </c>
      <c r="AE326" s="30">
        <v>44396</v>
      </c>
      <c r="AF326" s="30">
        <v>499.98</v>
      </c>
    </row>
    <row r="327" spans="3:32" x14ac:dyDescent="0.35">
      <c r="C327" s="72"/>
      <c r="D327" s="72"/>
      <c r="E327" s="72"/>
      <c r="F327" s="72"/>
      <c r="G327" s="72"/>
      <c r="H327" s="72"/>
      <c r="I327" s="72"/>
      <c r="J327" s="72"/>
      <c r="K327" s="72"/>
      <c r="L327" s="72"/>
      <c r="M327" s="72"/>
      <c r="N327" s="72"/>
      <c r="O327" s="72"/>
      <c r="P327" s="72"/>
      <c r="Q327" s="29"/>
      <c r="R327" s="29"/>
      <c r="S327" s="30" t="str">
        <v>TRX0082</v>
      </c>
      <c r="T327" s="30">
        <v>45635</v>
      </c>
      <c r="U327" s="30" t="str">
        <v>CUST005</v>
      </c>
      <c r="V327" s="30" t="str">
        <v>James Johnson</v>
      </c>
      <c r="W327" s="30" t="str">
        <v>P005</v>
      </c>
      <c r="X327" s="30" t="str">
        <v>Blender</v>
      </c>
      <c r="Y327" s="30" t="str">
        <v>Appliances</v>
      </c>
      <c r="Z327" s="30">
        <v>3</v>
      </c>
      <c r="AA327" s="30">
        <v>59.99</v>
      </c>
      <c r="AB327" s="30" t="str">
        <v>Cash</v>
      </c>
      <c r="AC327" s="30" t="str">
        <v>Central</v>
      </c>
      <c r="AD327" s="30" t="str">
        <v>Premium</v>
      </c>
      <c r="AE327" s="30">
        <v>45052</v>
      </c>
      <c r="AF327" s="30">
        <v>179.97</v>
      </c>
    </row>
    <row r="328" spans="3:32" x14ac:dyDescent="0.35">
      <c r="C328" s="72"/>
      <c r="D328" s="72"/>
      <c r="E328" s="72"/>
      <c r="F328" s="72"/>
      <c r="G328" s="72"/>
      <c r="H328" s="72"/>
      <c r="I328" s="72"/>
      <c r="J328" s="72"/>
      <c r="K328" s="72"/>
      <c r="L328" s="72"/>
      <c r="M328" s="72"/>
      <c r="N328" s="72"/>
      <c r="O328" s="72"/>
      <c r="P328" s="72"/>
      <c r="Q328" s="29"/>
      <c r="R328" s="29"/>
      <c r="S328" s="30" t="str">
        <v>TRX0224</v>
      </c>
      <c r="T328" s="30">
        <v>45641</v>
      </c>
      <c r="U328" s="30" t="str">
        <v>CUST031</v>
      </c>
      <c r="V328" s="30" t="str">
        <v>Steven Turner</v>
      </c>
      <c r="W328" s="30" t="str">
        <v>P007</v>
      </c>
      <c r="X328" s="30" t="str">
        <v>Desk</v>
      </c>
      <c r="Y328" s="30" t="str">
        <v>Furniture</v>
      </c>
      <c r="Z328" s="30">
        <v>2</v>
      </c>
      <c r="AA328" s="30">
        <v>299.99</v>
      </c>
      <c r="AB328" s="30" t="str">
        <v>Cash</v>
      </c>
      <c r="AC328" s="30" t="str">
        <v>East</v>
      </c>
      <c r="AD328" s="30" t="str">
        <v>Premium</v>
      </c>
      <c r="AE328" s="30">
        <v>44724</v>
      </c>
      <c r="AF328" s="30">
        <v>599.98</v>
      </c>
    </row>
    <row r="329" spans="3:32" x14ac:dyDescent="0.35">
      <c r="C329" s="72"/>
      <c r="D329" s="72"/>
      <c r="E329" s="72"/>
      <c r="F329" s="72"/>
      <c r="G329" s="72"/>
      <c r="H329" s="72"/>
      <c r="I329" s="72"/>
      <c r="J329" s="72"/>
      <c r="K329" s="72"/>
      <c r="L329" s="72"/>
      <c r="M329" s="72"/>
      <c r="N329" s="72"/>
      <c r="O329" s="72"/>
      <c r="P329" s="72"/>
      <c r="Q329" s="29"/>
      <c r="R329" s="29"/>
      <c r="S329" s="30" t="str">
        <v>TRX0164</v>
      </c>
      <c r="T329" s="30">
        <v>45648</v>
      </c>
      <c r="U329" s="30" t="str">
        <v>CUST014</v>
      </c>
      <c r="V329" s="30" t="str">
        <v>Linda Martin</v>
      </c>
      <c r="W329" s="30" t="str">
        <v>P003</v>
      </c>
      <c r="X329" s="30" t="str">
        <v>Headphones</v>
      </c>
      <c r="Y329" s="30" t="str">
        <v>Electronics</v>
      </c>
      <c r="Z329" s="30">
        <v>2</v>
      </c>
      <c r="AA329" s="30">
        <v>149.99</v>
      </c>
      <c r="AB329" s="30" t="str">
        <v>Debit Card</v>
      </c>
      <c r="AC329" s="30" t="str">
        <v>West</v>
      </c>
      <c r="AD329" s="30" t="str">
        <v>Premium</v>
      </c>
      <c r="AE329" s="30">
        <v>45280</v>
      </c>
      <c r="AF329" s="30">
        <v>299.98</v>
      </c>
    </row>
    <row r="330" spans="3:32" x14ac:dyDescent="0.35">
      <c r="C330" s="72"/>
      <c r="D330" s="72"/>
      <c r="E330" s="72"/>
      <c r="F330" s="72"/>
      <c r="G330" s="72"/>
      <c r="H330" s="72"/>
      <c r="I330" s="72"/>
      <c r="J330" s="72"/>
      <c r="K330" s="72"/>
      <c r="L330" s="72"/>
      <c r="M330" s="72"/>
      <c r="N330" s="72"/>
      <c r="O330" s="72"/>
      <c r="P330" s="72"/>
      <c r="Q330" s="29"/>
      <c r="R330" s="29"/>
      <c r="S330" s="30" t="str">
        <v>TRX0156</v>
      </c>
      <c r="T330" s="30">
        <v>45655</v>
      </c>
      <c r="U330" s="30" t="str">
        <v>CUST009</v>
      </c>
      <c r="V330" s="30" t="str">
        <v>Robert Thomas</v>
      </c>
      <c r="W330" s="30" t="str">
        <v>P010</v>
      </c>
      <c r="X330" s="30" t="str">
        <v>Keyboard</v>
      </c>
      <c r="Y330" s="30" t="str">
        <v>Electronics</v>
      </c>
      <c r="Z330" s="30">
        <v>1</v>
      </c>
      <c r="AA330" s="30">
        <v>89.99</v>
      </c>
      <c r="AB330" s="30" t="str">
        <v>Credit Card</v>
      </c>
      <c r="AC330" s="30" t="str">
        <v>South</v>
      </c>
      <c r="AD330" s="30" t="str">
        <v>Premium</v>
      </c>
      <c r="AE330" s="30">
        <v>44591</v>
      </c>
      <c r="AF330" s="30">
        <v>89.99</v>
      </c>
    </row>
    <row r="331" spans="3:32" x14ac:dyDescent="0.35">
      <c r="C331" s="72"/>
      <c r="D331" s="72"/>
      <c r="E331" s="72"/>
      <c r="F331" s="72"/>
      <c r="G331" s="72"/>
      <c r="H331" s="72"/>
      <c r="I331" s="72"/>
      <c r="J331" s="72"/>
      <c r="K331" s="72"/>
      <c r="L331" s="72"/>
      <c r="M331" s="72"/>
      <c r="N331" s="72"/>
      <c r="O331" s="72"/>
      <c r="P331" s="72"/>
      <c r="Q331" s="29"/>
      <c r="R331" s="29"/>
      <c r="S331" s="30" t="str">
        <v>TRX0147</v>
      </c>
      <c r="T331" s="30">
        <v>45655</v>
      </c>
      <c r="U331" s="30" t="str">
        <v>CUST036</v>
      </c>
      <c r="V331" s="30" t="str">
        <v>Nancy Collins</v>
      </c>
      <c r="W331" s="30" t="str">
        <v>P008</v>
      </c>
      <c r="X331" s="30" t="str">
        <v>Bookshelf</v>
      </c>
      <c r="Y331" s="30" t="str">
        <v>Furniture</v>
      </c>
      <c r="Z331" s="30">
        <v>5</v>
      </c>
      <c r="AA331" s="30">
        <v>149.99</v>
      </c>
      <c r="AB331" s="30" t="str">
        <v>Cash</v>
      </c>
      <c r="AC331" s="30" t="str">
        <v>Central</v>
      </c>
      <c r="AD331" s="30" t="str">
        <v>Premium</v>
      </c>
      <c r="AE331" s="30">
        <v>45347</v>
      </c>
      <c r="AF331" s="30">
        <v>749.95</v>
      </c>
    </row>
    <row r="332" spans="3:32" x14ac:dyDescent="0.35">
      <c r="C332" s="72"/>
      <c r="D332" s="72"/>
      <c r="E332" s="72"/>
      <c r="F332" s="72"/>
      <c r="G332" s="72"/>
      <c r="H332" s="72"/>
      <c r="I332" s="72"/>
      <c r="J332" s="72"/>
      <c r="K332" s="72"/>
      <c r="L332" s="72"/>
      <c r="M332" s="72"/>
      <c r="N332" s="72"/>
      <c r="O332" s="72"/>
      <c r="P332" s="72"/>
      <c r="Q332" s="29"/>
      <c r="R332" s="29"/>
      <c r="S332" s="30" t="str">
        <v>TRX0207</v>
      </c>
      <c r="T332" s="30">
        <v>45657</v>
      </c>
      <c r="U332" s="30" t="str">
        <v>CUST025</v>
      </c>
      <c r="V332" s="30" t="str">
        <v>Mark Carter</v>
      </c>
      <c r="W332" s="30" t="str">
        <v>P001</v>
      </c>
      <c r="X332" s="30" t="str">
        <v>Laptop</v>
      </c>
      <c r="Y332" s="30" t="str">
        <v>Electronics</v>
      </c>
      <c r="Z332" s="30">
        <v>1</v>
      </c>
      <c r="AA332" s="30">
        <v>899.99</v>
      </c>
      <c r="AB332" s="30" t="str">
        <v>PayPal</v>
      </c>
      <c r="AC332" s="30" t="str">
        <v>North</v>
      </c>
      <c r="AD332" s="30" t="str">
        <v>Premium</v>
      </c>
      <c r="AE332" s="30">
        <v>45050</v>
      </c>
      <c r="AF332" s="30">
        <v>899.99</v>
      </c>
    </row>
    <row r="333" spans="3:32" x14ac:dyDescent="0.35">
      <c r="C333" s="72"/>
      <c r="D333" s="72"/>
      <c r="E333" s="72"/>
      <c r="F333" s="72"/>
      <c r="G333" s="72"/>
      <c r="H333" s="72"/>
      <c r="I333" s="72"/>
      <c r="J333" s="72"/>
      <c r="K333" s="72"/>
      <c r="L333" s="72"/>
      <c r="M333" s="72"/>
      <c r="N333" s="72"/>
      <c r="O333" s="72"/>
      <c r="P333" s="72"/>
      <c r="Q333" s="29"/>
      <c r="R333" s="29"/>
      <c r="S333" s="30" t="str">
        <v>TRX0056</v>
      </c>
      <c r="T333" s="30">
        <v>45660</v>
      </c>
      <c r="U333" s="30" t="str">
        <v>CUST019</v>
      </c>
      <c r="V333" s="30" t="str">
        <v>Daniel King</v>
      </c>
      <c r="W333" s="30" t="str">
        <v>P010</v>
      </c>
      <c r="X333" s="30" t="str">
        <v>Keyboard</v>
      </c>
      <c r="Y333" s="30" t="str">
        <v>Electronics</v>
      </c>
      <c r="Z333" s="30">
        <v>2</v>
      </c>
      <c r="AA333" s="30">
        <v>89.99</v>
      </c>
      <c r="AB333" s="30" t="str">
        <v>Credit Card</v>
      </c>
      <c r="AC333" s="30" t="str">
        <v>South</v>
      </c>
      <c r="AD333" s="30" t="str">
        <v>Premium</v>
      </c>
      <c r="AE333" s="30">
        <v>44564</v>
      </c>
      <c r="AF333" s="30">
        <v>179.98</v>
      </c>
    </row>
    <row r="334" spans="3:32" x14ac:dyDescent="0.35">
      <c r="C334" s="72"/>
      <c r="D334" s="72"/>
      <c r="E334" s="72"/>
      <c r="F334" s="72"/>
      <c r="G334" s="72"/>
      <c r="H334" s="72"/>
      <c r="I334" s="72"/>
      <c r="J334" s="72"/>
      <c r="K334" s="72"/>
      <c r="L334" s="72"/>
      <c r="M334" s="72"/>
      <c r="N334" s="72"/>
      <c r="O334" s="72"/>
      <c r="P334" s="72"/>
      <c r="Q334" s="29"/>
      <c r="R334" s="29"/>
      <c r="S334" s="30" t="str">
        <v>TRX0237</v>
      </c>
      <c r="T334" s="30">
        <v>45663</v>
      </c>
      <c r="U334" s="30" t="str">
        <v>CUST006</v>
      </c>
      <c r="V334" s="30" t="str">
        <v>Lisa Anderson</v>
      </c>
      <c r="W334" s="30" t="str">
        <v>P003</v>
      </c>
      <c r="X334" s="30" t="str">
        <v>Headphones</v>
      </c>
      <c r="Y334" s="30" t="str">
        <v>Electronics</v>
      </c>
      <c r="Z334" s="30">
        <v>5</v>
      </c>
      <c r="AA334" s="30">
        <v>149.99</v>
      </c>
      <c r="AB334" s="30" t="str">
        <v>PayPal</v>
      </c>
      <c r="AC334" s="30" t="str">
        <v>East</v>
      </c>
      <c r="AD334" s="30" t="str">
        <v>Premium</v>
      </c>
      <c r="AE334" s="30">
        <v>44824</v>
      </c>
      <c r="AF334" s="30">
        <v>749.95</v>
      </c>
    </row>
    <row r="335" spans="3:32" x14ac:dyDescent="0.35">
      <c r="C335" s="72"/>
      <c r="D335" s="72"/>
      <c r="E335" s="72"/>
      <c r="F335" s="72"/>
      <c r="G335" s="72"/>
      <c r="H335" s="72"/>
      <c r="I335" s="72"/>
      <c r="J335" s="72"/>
      <c r="K335" s="72"/>
      <c r="L335" s="72"/>
      <c r="M335" s="72"/>
      <c r="N335" s="72"/>
      <c r="O335" s="72"/>
      <c r="P335" s="72"/>
      <c r="Q335" s="29"/>
      <c r="R335" s="29"/>
      <c r="S335" s="30" t="str">
        <v>TRX0125</v>
      </c>
      <c r="T335" s="30">
        <v>45666</v>
      </c>
      <c r="U335" s="30" t="str">
        <v>CUST026</v>
      </c>
      <c r="V335" s="30" t="str">
        <v>Karen Hill</v>
      </c>
      <c r="W335" s="30" t="str">
        <v>P002</v>
      </c>
      <c r="X335" s="30" t="str">
        <v>Smartphone</v>
      </c>
      <c r="Y335" s="30" t="str">
        <v>Electronics</v>
      </c>
      <c r="Z335" s="30">
        <v>3</v>
      </c>
      <c r="AA335" s="30">
        <v>699.99</v>
      </c>
      <c r="AB335" s="30" t="str">
        <v>Credit Card</v>
      </c>
      <c r="AC335" s="30" t="str">
        <v>Central</v>
      </c>
      <c r="AD335" s="30" t="str">
        <v>Premium</v>
      </c>
      <c r="AE335" s="30">
        <v>45105</v>
      </c>
      <c r="AF335" s="30">
        <v>2099.9699999999998</v>
      </c>
    </row>
    <row r="336" spans="3:32" x14ac:dyDescent="0.35">
      <c r="C336" s="72"/>
      <c r="D336" s="72"/>
      <c r="E336" s="72"/>
      <c r="F336" s="72"/>
      <c r="G336" s="72"/>
      <c r="H336" s="72"/>
      <c r="I336" s="72"/>
      <c r="J336" s="72"/>
      <c r="K336" s="72"/>
      <c r="L336" s="72"/>
      <c r="M336" s="72"/>
      <c r="N336" s="72"/>
      <c r="O336" s="72"/>
      <c r="P336" s="72"/>
      <c r="Q336" s="29"/>
      <c r="R336" s="29"/>
      <c r="S336" s="30" t="str">
        <v>TRX0238</v>
      </c>
      <c r="T336" s="30">
        <v>45668</v>
      </c>
      <c r="U336" s="30" t="str">
        <v>CUST038</v>
      </c>
      <c r="V336" s="30" t="str">
        <v>Michelle Rogers</v>
      </c>
      <c r="W336" s="30" t="str">
        <v>P002</v>
      </c>
      <c r="X336" s="30" t="str">
        <v>Smartphone</v>
      </c>
      <c r="Y336" s="30" t="str">
        <v>Electronics</v>
      </c>
      <c r="Z336" s="30">
        <v>3</v>
      </c>
      <c r="AA336" s="30">
        <v>699.99</v>
      </c>
      <c r="AB336" s="30" t="str">
        <v>Cash</v>
      </c>
      <c r="AC336" s="30" t="str">
        <v>North</v>
      </c>
      <c r="AD336" s="30" t="str">
        <v>Premium</v>
      </c>
      <c r="AE336" s="30">
        <v>44602</v>
      </c>
      <c r="AF336" s="30">
        <v>2099.9699999999998</v>
      </c>
    </row>
    <row r="337" spans="3:32" x14ac:dyDescent="0.35">
      <c r="C337" s="72"/>
      <c r="D337" s="72"/>
      <c r="E337" s="72"/>
      <c r="F337" s="72"/>
      <c r="G337" s="72"/>
      <c r="H337" s="72"/>
      <c r="I337" s="72"/>
      <c r="J337" s="72"/>
      <c r="K337" s="72"/>
      <c r="L337" s="72"/>
      <c r="M337" s="72"/>
      <c r="N337" s="72"/>
      <c r="O337" s="72"/>
      <c r="P337" s="72"/>
      <c r="Q337" s="29"/>
      <c r="R337" s="29"/>
      <c r="S337" s="30" t="str">
        <v>TRX0087</v>
      </c>
      <c r="T337" s="30">
        <v>45671</v>
      </c>
      <c r="U337" s="30" t="str">
        <v>CUST028</v>
      </c>
      <c r="V337" s="30" t="str">
        <v>Betty Campbell</v>
      </c>
      <c r="W337" s="30" t="str">
        <v>P009</v>
      </c>
      <c r="X337" s="30" t="str">
        <v>Monitor</v>
      </c>
      <c r="Y337" s="30" t="str">
        <v>Electronics</v>
      </c>
      <c r="Z337" s="30">
        <v>4</v>
      </c>
      <c r="AA337" s="30">
        <v>249.99</v>
      </c>
      <c r="AB337" s="30" t="str">
        <v>Credit Card</v>
      </c>
      <c r="AC337" s="30" t="str">
        <v>North</v>
      </c>
      <c r="AD337" s="30" t="str">
        <v>Premium</v>
      </c>
      <c r="AE337" s="30">
        <v>44460</v>
      </c>
      <c r="AF337" s="30">
        <v>999.96</v>
      </c>
    </row>
    <row r="338" spans="3:32" x14ac:dyDescent="0.35">
      <c r="C338" s="72"/>
      <c r="D338" s="72"/>
      <c r="E338" s="72"/>
      <c r="F338" s="72"/>
      <c r="G338" s="72"/>
      <c r="H338" s="72"/>
      <c r="I338" s="72"/>
      <c r="J338" s="72"/>
      <c r="K338" s="72"/>
      <c r="L338" s="72"/>
      <c r="M338" s="72"/>
      <c r="N338" s="72"/>
      <c r="O338" s="72"/>
      <c r="P338" s="72"/>
      <c r="Q338" s="29"/>
      <c r="R338" s="29"/>
      <c r="S338" s="30" t="str">
        <v>TRX0159</v>
      </c>
      <c r="T338" s="30">
        <v>45683</v>
      </c>
      <c r="U338" s="30" t="str">
        <v>CUST024</v>
      </c>
      <c r="V338" s="30" t="str">
        <v>Dorothy Nelson</v>
      </c>
      <c r="W338" s="30" t="str">
        <v>P009</v>
      </c>
      <c r="X338" s="30" t="str">
        <v>Monitor</v>
      </c>
      <c r="Y338" s="30" t="str">
        <v>Electronics</v>
      </c>
      <c r="Z338" s="30">
        <v>4</v>
      </c>
      <c r="AA338" s="30">
        <v>249.99</v>
      </c>
      <c r="AB338" s="30" t="str">
        <v>Debit Card</v>
      </c>
      <c r="AC338" s="30" t="str">
        <v>Central</v>
      </c>
      <c r="AD338" s="30" t="str">
        <v>Premium</v>
      </c>
      <c r="AE338" s="30">
        <v>45217</v>
      </c>
      <c r="AF338" s="30">
        <v>999.96</v>
      </c>
    </row>
    <row r="339" spans="3:32" x14ac:dyDescent="0.35">
      <c r="C339" s="72"/>
      <c r="D339" s="72"/>
      <c r="E339" s="72"/>
      <c r="F339" s="72"/>
      <c r="G339" s="72"/>
      <c r="H339" s="72"/>
      <c r="I339" s="72"/>
      <c r="J339" s="72"/>
      <c r="K339" s="72"/>
      <c r="L339" s="72"/>
      <c r="M339" s="72"/>
      <c r="N339" s="72"/>
      <c r="O339" s="72"/>
      <c r="P339" s="72"/>
      <c r="Q339" s="29"/>
      <c r="R339" s="29"/>
      <c r="S339" s="30" t="str">
        <v>TRX0188</v>
      </c>
      <c r="T339" s="30">
        <v>45686</v>
      </c>
      <c r="U339" s="30" t="str">
        <v>CUST045</v>
      </c>
      <c r="V339" s="30" t="str">
        <v>Douglas Watson</v>
      </c>
      <c r="W339" s="30" t="str">
        <v>P002</v>
      </c>
      <c r="X339" s="30" t="str">
        <v>Smartphone</v>
      </c>
      <c r="Y339" s="30" t="str">
        <v>Electronics</v>
      </c>
      <c r="Z339" s="30">
        <v>2</v>
      </c>
      <c r="AA339" s="30">
        <v>699.99</v>
      </c>
      <c r="AB339" s="30" t="str">
        <v>Debit Card</v>
      </c>
      <c r="AC339" s="30" t="str">
        <v>Central</v>
      </c>
      <c r="AD339" s="30" t="str">
        <v>Premium</v>
      </c>
      <c r="AE339" s="30">
        <v>44681</v>
      </c>
      <c r="AF339" s="30">
        <v>1399.98</v>
      </c>
    </row>
    <row r="340" spans="3:32" x14ac:dyDescent="0.35">
      <c r="C340" s="72"/>
      <c r="D340" s="72"/>
      <c r="E340" s="72"/>
      <c r="F340" s="72"/>
      <c r="G340" s="72"/>
      <c r="H340" s="72"/>
      <c r="I340" s="72"/>
      <c r="J340" s="72"/>
      <c r="K340" s="72"/>
      <c r="L340" s="72"/>
      <c r="M340" s="72"/>
      <c r="N340" s="72"/>
      <c r="O340" s="72"/>
      <c r="P340" s="72"/>
      <c r="Q340" s="29"/>
      <c r="R340" s="29"/>
      <c r="S340" s="30" t="str">
        <v>TRX0010</v>
      </c>
      <c r="T340" s="30">
        <v>45688</v>
      </c>
      <c r="U340" s="30" t="str">
        <v>CUST026</v>
      </c>
      <c r="V340" s="30" t="str">
        <v>Karen Hill</v>
      </c>
      <c r="W340" s="30" t="str">
        <v>P002</v>
      </c>
      <c r="X340" s="30" t="str">
        <v>Smartphone</v>
      </c>
      <c r="Y340" s="30" t="str">
        <v>Electronics</v>
      </c>
      <c r="Z340" s="30">
        <v>4</v>
      </c>
      <c r="AA340" s="30">
        <v>699.99</v>
      </c>
      <c r="AB340" s="30" t="str">
        <v>Debit Card</v>
      </c>
      <c r="AC340" s="30" t="str">
        <v>West</v>
      </c>
      <c r="AD340" s="30" t="str">
        <v>Premium</v>
      </c>
      <c r="AE340" s="30">
        <v>44692</v>
      </c>
      <c r="AF340" s="30">
        <v>2799.96</v>
      </c>
    </row>
    <row r="341" spans="3:32" x14ac:dyDescent="0.35">
      <c r="C341" s="72"/>
      <c r="D341" s="72"/>
      <c r="E341" s="72"/>
      <c r="F341" s="72"/>
      <c r="G341" s="72"/>
      <c r="H341" s="72"/>
      <c r="I341" s="72"/>
      <c r="J341" s="72"/>
      <c r="K341" s="72"/>
      <c r="L341" s="72"/>
      <c r="M341" s="72"/>
      <c r="N341" s="72"/>
      <c r="O341" s="72"/>
      <c r="P341" s="72"/>
      <c r="Q341" s="29"/>
      <c r="R341" s="29"/>
      <c r="S341" s="30" t="str">
        <v>TRX0166</v>
      </c>
      <c r="T341" s="30">
        <v>45688</v>
      </c>
      <c r="U341" s="30" t="str">
        <v>CUST003</v>
      </c>
      <c r="V341" s="30" t="str">
        <v>Michael Brown</v>
      </c>
      <c r="W341" s="30" t="str">
        <v>P010</v>
      </c>
      <c r="X341" s="30" t="str">
        <v>Keyboard</v>
      </c>
      <c r="Y341" s="30" t="str">
        <v>Electronics</v>
      </c>
      <c r="Z341" s="30">
        <v>3</v>
      </c>
      <c r="AA341" s="30">
        <v>89.99</v>
      </c>
      <c r="AB341" s="30" t="str">
        <v>Debit Card</v>
      </c>
      <c r="AC341" s="30" t="str">
        <v>South</v>
      </c>
      <c r="AD341" s="30" t="str">
        <v>Premium</v>
      </c>
      <c r="AE341" s="30">
        <v>45307</v>
      </c>
      <c r="AF341" s="30">
        <v>269.97000000000003</v>
      </c>
    </row>
    <row r="342" spans="3:32" x14ac:dyDescent="0.35">
      <c r="C342" s="72"/>
      <c r="D342" s="72"/>
      <c r="E342" s="72"/>
      <c r="F342" s="72"/>
      <c r="G342" s="72"/>
      <c r="H342" s="72"/>
      <c r="I342" s="72"/>
      <c r="J342" s="72"/>
      <c r="K342" s="72"/>
      <c r="L342" s="72"/>
      <c r="M342" s="72"/>
      <c r="N342" s="72"/>
      <c r="O342" s="72"/>
      <c r="P342" s="72"/>
      <c r="Q342" s="29"/>
      <c r="R342" s="29"/>
      <c r="S342" s="30" t="str">
        <v>TRX0024</v>
      </c>
      <c r="T342" s="30">
        <v>45695</v>
      </c>
      <c r="U342" s="30" t="str">
        <v>CUST042</v>
      </c>
      <c r="V342" s="30" t="str">
        <v>Ruth Brooks</v>
      </c>
      <c r="W342" s="30" t="str">
        <v>P008</v>
      </c>
      <c r="X342" s="30" t="str">
        <v>Bookshelf</v>
      </c>
      <c r="Y342" s="30" t="str">
        <v>Furniture</v>
      </c>
      <c r="Z342" s="30">
        <v>3</v>
      </c>
      <c r="AA342" s="30">
        <v>149.99</v>
      </c>
      <c r="AB342" s="30" t="str">
        <v>Debit Card</v>
      </c>
      <c r="AC342" s="30" t="str">
        <v>North</v>
      </c>
      <c r="AD342" s="30" t="str">
        <v>Premium</v>
      </c>
      <c r="AE342" s="30">
        <v>44564</v>
      </c>
      <c r="AF342" s="30">
        <v>449.97</v>
      </c>
    </row>
    <row r="343" spans="3:32" x14ac:dyDescent="0.35">
      <c r="C343" s="72"/>
      <c r="D343" s="72"/>
      <c r="E343" s="72"/>
      <c r="F343" s="72"/>
      <c r="G343" s="72"/>
      <c r="H343" s="72"/>
      <c r="I343" s="72"/>
      <c r="J343" s="72"/>
      <c r="K343" s="72"/>
      <c r="L343" s="72"/>
      <c r="M343" s="72"/>
      <c r="N343" s="72"/>
      <c r="O343" s="72"/>
      <c r="P343" s="72"/>
      <c r="Q343" s="29"/>
      <c r="R343" s="29"/>
      <c r="S343" s="30" t="str">
        <v>TRX0187</v>
      </c>
      <c r="T343" s="30">
        <v>45701</v>
      </c>
      <c r="U343" s="30" t="str">
        <v>CUST036</v>
      </c>
      <c r="V343" s="30" t="str">
        <v>Nancy Collins</v>
      </c>
      <c r="W343" s="30" t="str">
        <v>P004</v>
      </c>
      <c r="X343" s="30" t="str">
        <v>Coffee Maker</v>
      </c>
      <c r="Y343" s="30" t="str">
        <v>Appliances</v>
      </c>
      <c r="Z343" s="30">
        <v>3</v>
      </c>
      <c r="AA343" s="30">
        <v>79.989999999999995</v>
      </c>
      <c r="AB343" s="30" t="str">
        <v>Cash</v>
      </c>
      <c r="AC343" s="30" t="str">
        <v>East</v>
      </c>
      <c r="AD343" s="30" t="str">
        <v>Premium</v>
      </c>
      <c r="AE343" s="30">
        <v>44436</v>
      </c>
      <c r="AF343" s="30">
        <v>239.97</v>
      </c>
    </row>
    <row r="344" spans="3:32" x14ac:dyDescent="0.35">
      <c r="C344" s="72"/>
      <c r="D344" s="72"/>
      <c r="E344" s="72"/>
      <c r="F344" s="72"/>
      <c r="G344" s="72"/>
      <c r="H344" s="72"/>
      <c r="I344" s="72"/>
      <c r="J344" s="72"/>
      <c r="K344" s="72"/>
      <c r="L344" s="72"/>
      <c r="M344" s="72"/>
      <c r="N344" s="72"/>
      <c r="O344" s="72"/>
      <c r="P344" s="72"/>
      <c r="Q344" s="29"/>
      <c r="R344" s="29"/>
      <c r="S344" s="30" t="str">
        <v>TRX0118</v>
      </c>
      <c r="T344" s="30">
        <v>45705</v>
      </c>
      <c r="U344" s="30" t="str">
        <v>CUST015</v>
      </c>
      <c r="V344" s="30" t="str">
        <v>Richard Lee</v>
      </c>
      <c r="W344" s="30" t="str">
        <v>P008</v>
      </c>
      <c r="X344" s="30" t="str">
        <v>Bookshelf</v>
      </c>
      <c r="Y344" s="30" t="str">
        <v>Furniture</v>
      </c>
      <c r="Z344" s="30">
        <v>2</v>
      </c>
      <c r="AA344" s="30">
        <v>149.99</v>
      </c>
      <c r="AB344" s="30" t="str">
        <v>Cash</v>
      </c>
      <c r="AC344" s="30" t="str">
        <v>South</v>
      </c>
      <c r="AD344" s="30" t="str">
        <v>Premium</v>
      </c>
      <c r="AE344" s="30">
        <v>44728</v>
      </c>
      <c r="AF344" s="30">
        <v>299.98</v>
      </c>
    </row>
    <row r="345" spans="3:32" x14ac:dyDescent="0.35">
      <c r="C345" s="72"/>
      <c r="D345" s="72"/>
      <c r="E345" s="72"/>
      <c r="F345" s="72"/>
      <c r="G345" s="72"/>
      <c r="H345" s="72"/>
      <c r="I345" s="72"/>
      <c r="J345" s="72"/>
      <c r="K345" s="72"/>
      <c r="L345" s="72"/>
      <c r="M345" s="72"/>
      <c r="N345" s="72"/>
      <c r="O345" s="72"/>
      <c r="P345" s="72"/>
      <c r="Q345" s="29"/>
      <c r="R345" s="29"/>
      <c r="S345" s="30" t="str">
        <v>TRX0179</v>
      </c>
      <c r="T345" s="30">
        <v>45707</v>
      </c>
      <c r="U345" s="30" t="str">
        <v>CUST029</v>
      </c>
      <c r="V345" s="30" t="str">
        <v>Edward Mitchell</v>
      </c>
      <c r="W345" s="30" t="str">
        <v>P002</v>
      </c>
      <c r="X345" s="30" t="str">
        <v>Smartphone</v>
      </c>
      <c r="Y345" s="30" t="str">
        <v>Electronics</v>
      </c>
      <c r="Z345" s="30">
        <v>5</v>
      </c>
      <c r="AA345" s="30">
        <v>699.99</v>
      </c>
      <c r="AB345" s="30" t="str">
        <v>PayPal</v>
      </c>
      <c r="AC345" s="30" t="str">
        <v>South</v>
      </c>
      <c r="AD345" s="30" t="str">
        <v>Premium</v>
      </c>
      <c r="AE345" s="30">
        <v>45352</v>
      </c>
      <c r="AF345" s="30">
        <v>3499.95</v>
      </c>
    </row>
    <row r="346" spans="3:32" x14ac:dyDescent="0.35">
      <c r="C346" s="72"/>
      <c r="D346" s="72"/>
      <c r="E346" s="72"/>
      <c r="F346" s="72"/>
      <c r="G346" s="72"/>
      <c r="H346" s="72"/>
      <c r="I346" s="72"/>
      <c r="J346" s="72"/>
      <c r="K346" s="72"/>
      <c r="L346" s="72"/>
      <c r="M346" s="72"/>
      <c r="N346" s="72"/>
      <c r="O346" s="72"/>
      <c r="P346" s="72"/>
      <c r="Q346" s="29"/>
      <c r="R346" s="29"/>
      <c r="S346" s="30" t="str">
        <v>TRX0221</v>
      </c>
      <c r="T346" s="30">
        <v>45708</v>
      </c>
      <c r="U346" s="30" t="str">
        <v>CUST033</v>
      </c>
      <c r="V346" s="30" t="str">
        <v>Frank Torres</v>
      </c>
      <c r="W346" s="30" t="str">
        <v>P006</v>
      </c>
      <c r="X346" s="30" t="str">
        <v>Office Chair</v>
      </c>
      <c r="Y346" s="30" t="str">
        <v>Furniture</v>
      </c>
      <c r="Z346" s="30">
        <v>3</v>
      </c>
      <c r="AA346" s="30">
        <v>199.99</v>
      </c>
      <c r="AB346" s="30" t="str">
        <v>Cash</v>
      </c>
      <c r="AC346" s="30" t="str">
        <v>West</v>
      </c>
      <c r="AD346" s="30" t="str">
        <v>Premium</v>
      </c>
      <c r="AE346" s="30">
        <v>44823</v>
      </c>
      <c r="AF346" s="30">
        <v>599.97</v>
      </c>
    </row>
    <row r="347" spans="3:32" x14ac:dyDescent="0.35">
      <c r="C347" s="72"/>
      <c r="D347" s="72"/>
      <c r="E347" s="72"/>
      <c r="F347" s="72"/>
      <c r="G347" s="72"/>
      <c r="H347" s="72"/>
      <c r="I347" s="72"/>
      <c r="J347" s="72"/>
      <c r="K347" s="72"/>
      <c r="L347" s="72"/>
      <c r="M347" s="72"/>
      <c r="N347" s="72"/>
      <c r="O347" s="72"/>
      <c r="P347" s="72"/>
      <c r="Q347" s="29"/>
      <c r="R347" s="29"/>
      <c r="S347" s="30" t="str">
        <v>TRX0047</v>
      </c>
      <c r="T347" s="30">
        <v>45711</v>
      </c>
      <c r="U347" s="30" t="str">
        <v>CUST042</v>
      </c>
      <c r="V347" s="30" t="str">
        <v>Ruth Brooks</v>
      </c>
      <c r="W347" s="30" t="str">
        <v>P002</v>
      </c>
      <c r="X347" s="30" t="str">
        <v>Smartphone</v>
      </c>
      <c r="Y347" s="30" t="str">
        <v>Electronics</v>
      </c>
      <c r="Z347" s="30">
        <v>1</v>
      </c>
      <c r="AA347" s="30">
        <v>699.99</v>
      </c>
      <c r="AB347" s="30" t="str">
        <v>Cash</v>
      </c>
      <c r="AC347" s="30" t="str">
        <v>North</v>
      </c>
      <c r="AD347" s="30" t="str">
        <v>Premium</v>
      </c>
      <c r="AE347" s="30">
        <v>44583</v>
      </c>
      <c r="AF347" s="30">
        <v>699.99</v>
      </c>
    </row>
    <row r="348" spans="3:32" x14ac:dyDescent="0.35">
      <c r="C348" s="72"/>
      <c r="D348" s="72"/>
      <c r="E348" s="72"/>
      <c r="F348" s="72"/>
      <c r="G348" s="72"/>
      <c r="H348" s="72"/>
      <c r="I348" s="72"/>
      <c r="J348" s="72"/>
      <c r="K348" s="72"/>
      <c r="L348" s="72"/>
      <c r="M348" s="72"/>
      <c r="N348" s="72"/>
      <c r="O348" s="72"/>
      <c r="P348" s="72"/>
      <c r="Q348" s="29"/>
      <c r="R348" s="29"/>
      <c r="S348" s="30" t="str">
        <v>TRX0200</v>
      </c>
      <c r="T348" s="30">
        <v>45711</v>
      </c>
      <c r="U348" s="30" t="str">
        <v>CUST037</v>
      </c>
      <c r="V348" s="30" t="str">
        <v>Arthur Edwards</v>
      </c>
      <c r="W348" s="30" t="str">
        <v>P008</v>
      </c>
      <c r="X348" s="30" t="str">
        <v>Bookshelf</v>
      </c>
      <c r="Y348" s="30" t="str">
        <v>Furniture</v>
      </c>
      <c r="Z348" s="30">
        <v>4</v>
      </c>
      <c r="AA348" s="30">
        <v>149.99</v>
      </c>
      <c r="AB348" s="30" t="str">
        <v>PayPal</v>
      </c>
      <c r="AC348" s="30" t="str">
        <v>North</v>
      </c>
      <c r="AD348" s="30" t="str">
        <v>Premium</v>
      </c>
      <c r="AE348" s="30">
        <v>44412</v>
      </c>
      <c r="AF348" s="30">
        <v>599.96</v>
      </c>
    </row>
    <row r="349" spans="3:32" x14ac:dyDescent="0.35">
      <c r="C349" s="72"/>
      <c r="D349" s="72"/>
      <c r="E349" s="72"/>
      <c r="F349" s="72"/>
      <c r="G349" s="72"/>
      <c r="H349" s="72"/>
      <c r="I349" s="72"/>
      <c r="J349" s="72"/>
      <c r="K349" s="72"/>
      <c r="L349" s="72"/>
      <c r="M349" s="72"/>
      <c r="N349" s="72"/>
      <c r="O349" s="72"/>
      <c r="P349" s="72"/>
      <c r="Q349" s="29"/>
      <c r="R349" s="29"/>
      <c r="S349" s="30" t="str">
        <v>TRX0062</v>
      </c>
      <c r="T349" s="30">
        <v>45711</v>
      </c>
      <c r="U349" s="30" t="str">
        <v>CUST016</v>
      </c>
      <c r="V349" s="30" t="str">
        <v>Elizabeth Hall</v>
      </c>
      <c r="W349" s="30" t="str">
        <v>P010</v>
      </c>
      <c r="X349" s="30" t="str">
        <v>Keyboard</v>
      </c>
      <c r="Y349" s="30" t="str">
        <v>Electronics</v>
      </c>
      <c r="Z349" s="30">
        <v>5</v>
      </c>
      <c r="AA349" s="30">
        <v>89.99</v>
      </c>
      <c r="AB349" s="30" t="str">
        <v>PayPal</v>
      </c>
      <c r="AC349" s="30" t="str">
        <v>West</v>
      </c>
      <c r="AD349" s="30" t="str">
        <v>Premium</v>
      </c>
      <c r="AE349" s="30">
        <v>45140</v>
      </c>
      <c r="AF349" s="30">
        <v>449.95</v>
      </c>
    </row>
    <row r="350" spans="3:32" x14ac:dyDescent="0.35">
      <c r="C350" s="72"/>
      <c r="D350" s="72"/>
      <c r="E350" s="72"/>
      <c r="F350" s="72"/>
      <c r="G350" s="72"/>
      <c r="H350" s="72"/>
      <c r="I350" s="72"/>
      <c r="J350" s="72"/>
      <c r="K350" s="72"/>
      <c r="L350" s="72"/>
      <c r="M350" s="72"/>
      <c r="N350" s="72"/>
      <c r="O350" s="72"/>
      <c r="P350" s="72"/>
      <c r="Q350" s="29"/>
      <c r="R350" s="29"/>
      <c r="S350" s="30" t="str">
        <v>TRX0182</v>
      </c>
      <c r="T350" s="30">
        <v>45712</v>
      </c>
      <c r="U350" s="30" t="str">
        <v>CUST031</v>
      </c>
      <c r="V350" s="30" t="str">
        <v>Steven Turner</v>
      </c>
      <c r="W350" s="30" t="str">
        <v>P006</v>
      </c>
      <c r="X350" s="30" t="str">
        <v>Office Chair</v>
      </c>
      <c r="Y350" s="30" t="str">
        <v>Furniture</v>
      </c>
      <c r="Z350" s="30">
        <v>2</v>
      </c>
      <c r="AA350" s="30">
        <v>199.99</v>
      </c>
      <c r="AB350" s="30" t="str">
        <v>Cash</v>
      </c>
      <c r="AC350" s="30" t="str">
        <v>Central</v>
      </c>
      <c r="AD350" s="30" t="str">
        <v>Premium</v>
      </c>
      <c r="AE350" s="30">
        <v>44573</v>
      </c>
      <c r="AF350" s="30">
        <v>399.98</v>
      </c>
    </row>
    <row r="351" spans="3:32" x14ac:dyDescent="0.35">
      <c r="C351" s="72"/>
      <c r="D351" s="72"/>
      <c r="E351" s="72"/>
      <c r="F351" s="72"/>
      <c r="G351" s="72"/>
      <c r="H351" s="72"/>
      <c r="I351" s="72"/>
      <c r="J351" s="72"/>
      <c r="K351" s="72"/>
      <c r="L351" s="72"/>
      <c r="M351" s="72"/>
      <c r="N351" s="72"/>
      <c r="O351" s="72"/>
      <c r="P351" s="72"/>
      <c r="Q351" s="29"/>
      <c r="R351" s="29"/>
      <c r="S351" s="30" t="str">
        <v>TRX0226</v>
      </c>
      <c r="T351" s="30">
        <v>45720</v>
      </c>
      <c r="U351" s="30" t="str">
        <v>CUST039</v>
      </c>
      <c r="V351" s="30" t="str">
        <v>Lawrence Reed</v>
      </c>
      <c r="W351" s="30" t="str">
        <v>P002</v>
      </c>
      <c r="X351" s="30" t="str">
        <v>Smartphone</v>
      </c>
      <c r="Y351" s="30" t="str">
        <v>Electronics</v>
      </c>
      <c r="Z351" s="30">
        <v>5</v>
      </c>
      <c r="AA351" s="30">
        <v>699.99</v>
      </c>
      <c r="AB351" s="30" t="str">
        <v>Debit Card</v>
      </c>
      <c r="AC351" s="30" t="str">
        <v>East</v>
      </c>
      <c r="AD351" s="30" t="str">
        <v>Premium</v>
      </c>
      <c r="AE351" s="30">
        <v>45161</v>
      </c>
      <c r="AF351" s="30">
        <v>3499.95</v>
      </c>
    </row>
    <row r="352" spans="3:32" x14ac:dyDescent="0.35">
      <c r="C352" s="72"/>
      <c r="D352" s="72"/>
      <c r="E352" s="72"/>
      <c r="F352" s="72"/>
      <c r="G352" s="72"/>
      <c r="H352" s="72"/>
      <c r="I352" s="72"/>
      <c r="J352" s="72"/>
      <c r="K352" s="72"/>
      <c r="L352" s="72"/>
      <c r="M352" s="72"/>
      <c r="N352" s="72"/>
      <c r="O352" s="72"/>
      <c r="P352" s="72"/>
      <c r="Q352" s="29"/>
      <c r="R352" s="29"/>
      <c r="S352" s="30" t="str">
        <v>TRX0053</v>
      </c>
      <c r="T352" s="30">
        <v>45721</v>
      </c>
      <c r="U352" s="30" t="str">
        <v>CUST043</v>
      </c>
      <c r="V352" s="30" t="str">
        <v>Dennis Gray</v>
      </c>
      <c r="W352" s="30" t="str">
        <v>P005</v>
      </c>
      <c r="X352" s="30" t="str">
        <v>Blender</v>
      </c>
      <c r="Y352" s="30" t="str">
        <v>Appliances</v>
      </c>
      <c r="Z352" s="30">
        <v>5</v>
      </c>
      <c r="AA352" s="30">
        <v>59.99</v>
      </c>
      <c r="AB352" s="30" t="str">
        <v>Cash</v>
      </c>
      <c r="AC352" s="30" t="str">
        <v>West</v>
      </c>
      <c r="AD352" s="30" t="str">
        <v>Premium</v>
      </c>
      <c r="AE352" s="30">
        <v>45291</v>
      </c>
      <c r="AF352" s="30">
        <v>299.95</v>
      </c>
    </row>
    <row r="353" spans="3:32" x14ac:dyDescent="0.35">
      <c r="C353" s="72"/>
      <c r="D353" s="72"/>
      <c r="E353" s="72"/>
      <c r="F353" s="72"/>
      <c r="G353" s="72"/>
      <c r="H353" s="72"/>
      <c r="I353" s="72"/>
      <c r="J353" s="72"/>
      <c r="K353" s="72"/>
      <c r="L353" s="72"/>
      <c r="M353" s="72"/>
      <c r="N353" s="72"/>
      <c r="O353" s="72"/>
      <c r="P353" s="72"/>
      <c r="Q353" s="29"/>
      <c r="R353" s="29"/>
      <c r="S353" s="30" t="str">
        <v>TRX0233</v>
      </c>
      <c r="T353" s="30">
        <v>45723</v>
      </c>
      <c r="U353" s="30" t="str">
        <v>CUST023</v>
      </c>
      <c r="V353" s="30" t="str">
        <v>Paul Baker</v>
      </c>
      <c r="W353" s="30" t="str">
        <v>P010</v>
      </c>
      <c r="X353" s="30" t="str">
        <v>Keyboard</v>
      </c>
      <c r="Y353" s="30" t="str">
        <v>Electronics</v>
      </c>
      <c r="Z353" s="30">
        <v>2</v>
      </c>
      <c r="AA353" s="30">
        <v>89.99</v>
      </c>
      <c r="AB353" s="30" t="str">
        <v>Credit Card</v>
      </c>
      <c r="AC353" s="30" t="str">
        <v>West</v>
      </c>
      <c r="AD353" s="30" t="str">
        <v>Premium</v>
      </c>
      <c r="AE353" s="30">
        <v>45295</v>
      </c>
      <c r="AF353" s="30">
        <v>179.98</v>
      </c>
    </row>
    <row r="354" spans="3:32" x14ac:dyDescent="0.35">
      <c r="C354" s="72"/>
      <c r="D354" s="72"/>
      <c r="E354" s="72"/>
      <c r="F354" s="72"/>
      <c r="G354" s="72"/>
      <c r="H354" s="72"/>
      <c r="I354" s="72"/>
      <c r="J354" s="72"/>
      <c r="K354" s="72"/>
      <c r="L354" s="72"/>
      <c r="M354" s="72"/>
      <c r="N354" s="72"/>
      <c r="O354" s="72"/>
      <c r="P354" s="72"/>
      <c r="Q354" s="29"/>
      <c r="R354" s="29"/>
      <c r="S354" s="30" t="str">
        <v>TRX0186</v>
      </c>
      <c r="T354" s="30">
        <v>45724</v>
      </c>
      <c r="U354" s="30" t="str">
        <v>CUST039</v>
      </c>
      <c r="V354" s="30" t="str">
        <v>Lawrence Reed</v>
      </c>
      <c r="W354" s="30" t="str">
        <v>P008</v>
      </c>
      <c r="X354" s="30" t="str">
        <v>Bookshelf</v>
      </c>
      <c r="Y354" s="30" t="str">
        <v>Furniture</v>
      </c>
      <c r="Z354" s="30">
        <v>2</v>
      </c>
      <c r="AA354" s="30">
        <v>149.99</v>
      </c>
      <c r="AB354" s="30" t="str">
        <v>PayPal</v>
      </c>
      <c r="AC354" s="30" t="str">
        <v>Central</v>
      </c>
      <c r="AD354" s="30" t="str">
        <v>Premium</v>
      </c>
      <c r="AE354" s="30">
        <v>44632</v>
      </c>
      <c r="AF354" s="30">
        <v>299.98</v>
      </c>
    </row>
    <row r="355" spans="3:32" x14ac:dyDescent="0.35">
      <c r="C355" s="72"/>
      <c r="D355" s="72"/>
      <c r="E355" s="72"/>
      <c r="F355" s="72"/>
      <c r="G355" s="72"/>
      <c r="H355" s="72"/>
      <c r="I355" s="72"/>
      <c r="J355" s="72"/>
      <c r="K355" s="72"/>
      <c r="L355" s="72"/>
      <c r="M355" s="72"/>
      <c r="N355" s="72"/>
      <c r="O355" s="72"/>
      <c r="P355" s="72"/>
      <c r="Q355" s="29"/>
      <c r="R355" s="29"/>
      <c r="S355" s="30" t="str">
        <v>TRX0016</v>
      </c>
      <c r="T355" s="30">
        <v>45724</v>
      </c>
      <c r="U355" s="30" t="str">
        <v>CUST035</v>
      </c>
      <c r="V355" s="30" t="str">
        <v>Harry Morgan</v>
      </c>
      <c r="W355" s="30" t="str">
        <v>P001</v>
      </c>
      <c r="X355" s="30" t="str">
        <v>Laptop</v>
      </c>
      <c r="Y355" s="30" t="str">
        <v>Electronics</v>
      </c>
      <c r="Z355" s="30">
        <v>5</v>
      </c>
      <c r="AA355" s="30">
        <v>899.99</v>
      </c>
      <c r="AB355" s="30" t="str">
        <v>PayPal</v>
      </c>
      <c r="AC355" s="30" t="str">
        <v>East</v>
      </c>
      <c r="AD355" s="30" t="str">
        <v>Premium</v>
      </c>
      <c r="AE355" s="30">
        <v>45389</v>
      </c>
      <c r="AF355" s="30">
        <v>4499.95</v>
      </c>
    </row>
    <row r="356" spans="3:32" x14ac:dyDescent="0.35">
      <c r="C356" s="72"/>
      <c r="D356" s="72"/>
      <c r="E356" s="72"/>
      <c r="F356" s="72"/>
      <c r="G356" s="72"/>
      <c r="H356" s="72"/>
      <c r="I356" s="72"/>
      <c r="J356" s="72"/>
      <c r="K356" s="72"/>
      <c r="L356" s="72"/>
      <c r="M356" s="72"/>
      <c r="N356" s="72"/>
      <c r="O356" s="72"/>
      <c r="P356" s="72"/>
      <c r="Q356" s="29"/>
      <c r="R356" s="29"/>
      <c r="S356" s="30" t="str">
        <v>TRX0003</v>
      </c>
      <c r="T356" s="30">
        <v>45737</v>
      </c>
      <c r="U356" s="30" t="str">
        <v>CUST002</v>
      </c>
      <c r="V356" s="30" t="str">
        <v>Emma Wilson</v>
      </c>
      <c r="W356" s="30" t="str">
        <v>P008</v>
      </c>
      <c r="X356" s="30" t="str">
        <v>Bookshelf</v>
      </c>
      <c r="Y356" s="30" t="str">
        <v>Furniture</v>
      </c>
      <c r="Z356" s="30">
        <v>2</v>
      </c>
      <c r="AA356" s="30">
        <v>149.99</v>
      </c>
      <c r="AB356" s="30" t="str">
        <v>Cash</v>
      </c>
      <c r="AC356" s="30" t="str">
        <v>West</v>
      </c>
      <c r="AD356" s="30" t="str">
        <v>Premium</v>
      </c>
      <c r="AE356" s="30">
        <v>45233</v>
      </c>
      <c r="AF356" s="30">
        <v>299.98</v>
      </c>
    </row>
    <row r="357" spans="3:32" x14ac:dyDescent="0.35">
      <c r="C357" s="72"/>
      <c r="D357" s="72"/>
      <c r="E357" s="72"/>
      <c r="F357" s="72"/>
      <c r="G357" s="72"/>
      <c r="H357" s="72"/>
      <c r="I357" s="72"/>
      <c r="J357" s="72"/>
      <c r="K357" s="72"/>
      <c r="L357" s="72"/>
      <c r="M357" s="72"/>
      <c r="N357" s="72"/>
      <c r="O357" s="72"/>
      <c r="P357" s="72"/>
      <c r="Q357" s="29"/>
      <c r="R357" s="29"/>
      <c r="S357" s="30" t="str">
        <v>TRX0124</v>
      </c>
      <c r="T357" s="30">
        <v>45737</v>
      </c>
      <c r="U357" s="30" t="str">
        <v>CUST040</v>
      </c>
      <c r="V357" s="30" t="str">
        <v>Sharon Butler</v>
      </c>
      <c r="W357" s="30" t="str">
        <v>P001</v>
      </c>
      <c r="X357" s="30" t="str">
        <v>Laptop</v>
      </c>
      <c r="Y357" s="30" t="str">
        <v>Electronics</v>
      </c>
      <c r="Z357" s="30">
        <v>3</v>
      </c>
      <c r="AA357" s="30">
        <v>899.99</v>
      </c>
      <c r="AB357" s="30" t="str">
        <v>Debit Card</v>
      </c>
      <c r="AC357" s="30" t="str">
        <v>North</v>
      </c>
      <c r="AD357" s="30" t="str">
        <v>Premium</v>
      </c>
      <c r="AE357" s="30">
        <v>44876</v>
      </c>
      <c r="AF357" s="30">
        <v>2699.97</v>
      </c>
    </row>
    <row r="358" spans="3:32" x14ac:dyDescent="0.35">
      <c r="C358" s="72"/>
      <c r="D358" s="72"/>
      <c r="E358" s="72"/>
      <c r="F358" s="72"/>
      <c r="G358" s="72"/>
      <c r="H358" s="72"/>
      <c r="I358" s="72"/>
      <c r="J358" s="72"/>
      <c r="K358" s="72"/>
      <c r="L358" s="72"/>
      <c r="M358" s="72"/>
      <c r="N358" s="72"/>
      <c r="O358" s="72"/>
      <c r="P358" s="72"/>
      <c r="Q358" s="29"/>
      <c r="R358" s="29"/>
      <c r="S358" s="30" t="str">
        <v>TRX0019</v>
      </c>
      <c r="T358" s="30">
        <v>45739</v>
      </c>
      <c r="U358" s="30" t="str">
        <v>CUST023</v>
      </c>
      <c r="V358" s="30" t="str">
        <v>Paul Baker</v>
      </c>
      <c r="W358" s="30" t="str">
        <v>P007</v>
      </c>
      <c r="X358" s="30" t="str">
        <v>Desk</v>
      </c>
      <c r="Y358" s="30" t="str">
        <v>Furniture</v>
      </c>
      <c r="Z358" s="30">
        <v>3</v>
      </c>
      <c r="AA358" s="30">
        <v>299.99</v>
      </c>
      <c r="AB358" s="30" t="str">
        <v>Credit Card</v>
      </c>
      <c r="AC358" s="30" t="str">
        <v>West</v>
      </c>
      <c r="AD358" s="30" t="str">
        <v>Premium</v>
      </c>
      <c r="AE358" s="30">
        <v>45234</v>
      </c>
      <c r="AF358" s="30">
        <v>899.97</v>
      </c>
    </row>
    <row r="359" spans="3:32" x14ac:dyDescent="0.35">
      <c r="C359" s="72"/>
      <c r="D359" s="72"/>
      <c r="E359" s="72"/>
      <c r="F359" s="72"/>
      <c r="G359" s="72"/>
      <c r="H359" s="72"/>
      <c r="I359" s="72"/>
      <c r="J359" s="72"/>
      <c r="K359" s="72"/>
      <c r="L359" s="72"/>
      <c r="M359" s="72"/>
      <c r="N359" s="72"/>
      <c r="O359" s="72"/>
      <c r="P359" s="72"/>
      <c r="Q359" s="29"/>
      <c r="R359" s="29"/>
      <c r="S359" s="30" t="str">
        <v>TRX0250</v>
      </c>
      <c r="T359" s="30">
        <v>45746</v>
      </c>
      <c r="U359" s="30" t="str">
        <v>CUST026</v>
      </c>
      <c r="V359" s="30" t="str">
        <v>Karen Hill</v>
      </c>
      <c r="W359" s="30" t="str">
        <v>P010</v>
      </c>
      <c r="X359" s="30" t="str">
        <v>Keyboard</v>
      </c>
      <c r="Y359" s="30" t="str">
        <v>Electronics</v>
      </c>
      <c r="Z359" s="30">
        <v>2</v>
      </c>
      <c r="AA359" s="30">
        <v>89.99</v>
      </c>
      <c r="AB359" s="30" t="str">
        <v>Debit Card</v>
      </c>
      <c r="AC359" s="30" t="str">
        <v>West</v>
      </c>
      <c r="AD359" s="30" t="str">
        <v>Premium</v>
      </c>
      <c r="AE359" s="30">
        <v>44522</v>
      </c>
      <c r="AF359" s="30">
        <v>179.98</v>
      </c>
    </row>
    <row r="360" spans="3:32" x14ac:dyDescent="0.35">
      <c r="C360" s="72"/>
      <c r="D360" s="72"/>
      <c r="E360" s="72"/>
      <c r="F360" s="72"/>
      <c r="G360" s="72"/>
      <c r="H360" s="72"/>
      <c r="I360" s="72"/>
      <c r="J360" s="72"/>
      <c r="K360" s="72"/>
      <c r="L360" s="72"/>
      <c r="M360" s="72"/>
      <c r="N360" s="72"/>
      <c r="O360" s="72"/>
      <c r="P360" s="72"/>
      <c r="Q360" s="29"/>
      <c r="R360" s="29"/>
      <c r="S360" s="30" t="str">
        <v>TRX0064</v>
      </c>
      <c r="T360" s="30">
        <v>45758</v>
      </c>
      <c r="U360" s="30" t="str">
        <v>CUST031</v>
      </c>
      <c r="V360" s="30" t="str">
        <v>Steven Turner</v>
      </c>
      <c r="W360" s="30" t="str">
        <v>P010</v>
      </c>
      <c r="X360" s="30" t="str">
        <v>Keyboard</v>
      </c>
      <c r="Y360" s="30" t="str">
        <v>Electronics</v>
      </c>
      <c r="Z360" s="30">
        <v>3</v>
      </c>
      <c r="AA360" s="30">
        <v>89.99</v>
      </c>
      <c r="AB360" s="30" t="str">
        <v>Debit Card</v>
      </c>
      <c r="AC360" s="30" t="str">
        <v>North</v>
      </c>
      <c r="AD360" s="30" t="str">
        <v>Premium</v>
      </c>
      <c r="AE360" s="30">
        <v>44878</v>
      </c>
      <c r="AF360" s="30">
        <v>269.97000000000003</v>
      </c>
    </row>
    <row r="361" spans="3:32" x14ac:dyDescent="0.35">
      <c r="C361" s="72"/>
      <c r="D361" s="72"/>
      <c r="E361" s="72"/>
      <c r="F361" s="72"/>
      <c r="G361" s="72"/>
      <c r="H361" s="72"/>
      <c r="I361" s="72"/>
      <c r="J361" s="72"/>
      <c r="K361" s="72"/>
      <c r="L361" s="72"/>
      <c r="M361" s="72"/>
      <c r="N361" s="72"/>
      <c r="O361" s="72"/>
      <c r="P361" s="72"/>
      <c r="Q361" s="29"/>
      <c r="R361" s="29"/>
      <c r="S361" s="29"/>
      <c r="T361" s="29"/>
      <c r="U361" s="29"/>
      <c r="V361" s="29"/>
      <c r="W361" s="29"/>
      <c r="X361" s="29"/>
      <c r="Y361" s="29"/>
      <c r="Z361" s="29"/>
      <c r="AA361" s="29"/>
      <c r="AB361" s="29"/>
      <c r="AC361" s="29"/>
      <c r="AD361" s="29"/>
      <c r="AE361" s="29"/>
      <c r="AF361" s="29"/>
    </row>
    <row r="362" spans="3:32" x14ac:dyDescent="0.35">
      <c r="C362" s="72"/>
      <c r="D362" s="72"/>
      <c r="E362" s="72"/>
      <c r="F362" s="72"/>
      <c r="G362" s="72"/>
      <c r="H362" s="72"/>
      <c r="I362" s="72"/>
      <c r="J362" s="72"/>
      <c r="K362" s="72"/>
      <c r="L362" s="72"/>
      <c r="M362" s="72"/>
      <c r="N362" s="72"/>
      <c r="O362" s="72"/>
      <c r="P362" s="72"/>
      <c r="Q362" s="29"/>
      <c r="R362" s="29"/>
      <c r="S362" s="29"/>
      <c r="T362" s="29"/>
      <c r="U362" s="29"/>
      <c r="V362" s="29"/>
      <c r="W362" s="29"/>
      <c r="X362" s="29"/>
      <c r="Y362" s="29"/>
      <c r="Z362" s="29"/>
      <c r="AA362" s="29"/>
      <c r="AB362" s="29"/>
      <c r="AC362" s="29"/>
      <c r="AD362" s="29"/>
      <c r="AE362" s="29"/>
      <c r="AF362" s="29"/>
    </row>
    <row r="363" spans="3:32" x14ac:dyDescent="0.35">
      <c r="C363" s="72"/>
      <c r="D363" s="72"/>
      <c r="E363" s="72"/>
      <c r="F363" s="72"/>
      <c r="G363" s="72"/>
      <c r="H363" s="72"/>
      <c r="I363" s="72"/>
      <c r="J363" s="72"/>
      <c r="K363" s="72"/>
      <c r="L363" s="72"/>
      <c r="M363" s="72"/>
      <c r="N363" s="72"/>
      <c r="O363" s="72"/>
      <c r="P363" s="72"/>
      <c r="Q363" s="29"/>
      <c r="R363" s="29"/>
      <c r="S363" s="29"/>
      <c r="T363" s="29"/>
      <c r="U363" s="29"/>
      <c r="V363" s="29"/>
      <c r="W363" s="29"/>
      <c r="X363" s="29"/>
      <c r="Y363" s="29"/>
      <c r="Z363" s="29"/>
      <c r="AA363" s="29"/>
      <c r="AB363" s="29"/>
      <c r="AC363" s="29"/>
      <c r="AD363" s="29"/>
      <c r="AE363" s="29"/>
      <c r="AF363" s="29"/>
    </row>
    <row r="364" spans="3:32" x14ac:dyDescent="0.35">
      <c r="C364" s="72"/>
      <c r="D364" s="72"/>
      <c r="E364" s="72"/>
      <c r="F364" s="72"/>
      <c r="G364" s="72"/>
      <c r="H364" s="72"/>
      <c r="I364" s="72"/>
      <c r="J364" s="72"/>
      <c r="K364" s="72"/>
      <c r="L364" s="72"/>
      <c r="M364" s="72"/>
      <c r="N364" s="72"/>
      <c r="O364" s="72"/>
      <c r="P364" s="72"/>
      <c r="Q364" s="29"/>
      <c r="R364" s="29"/>
      <c r="S364" s="29"/>
      <c r="T364" s="29"/>
      <c r="U364" s="29"/>
      <c r="V364" s="29"/>
      <c r="W364" s="29"/>
      <c r="X364" s="29"/>
      <c r="Y364" s="29"/>
      <c r="Z364" s="29"/>
      <c r="AA364" s="29"/>
      <c r="AB364" s="29"/>
      <c r="AC364" s="29"/>
      <c r="AD364" s="29"/>
      <c r="AE364" s="29"/>
      <c r="AF364" s="29"/>
    </row>
    <row r="365" spans="3:32" x14ac:dyDescent="0.35">
      <c r="C365" s="72"/>
      <c r="D365" s="72"/>
      <c r="E365" s="72"/>
      <c r="F365" s="72"/>
      <c r="G365" s="72"/>
      <c r="H365" s="72"/>
      <c r="I365" s="72"/>
      <c r="J365" s="72"/>
      <c r="K365" s="72"/>
      <c r="L365" s="72"/>
      <c r="M365" s="72"/>
      <c r="N365" s="72"/>
      <c r="O365" s="72"/>
      <c r="P365" s="72"/>
      <c r="Q365" s="29"/>
      <c r="R365" s="29"/>
      <c r="S365" s="29"/>
      <c r="T365" s="29"/>
      <c r="U365" s="29"/>
      <c r="V365" s="29"/>
      <c r="W365" s="29"/>
      <c r="X365" s="29"/>
      <c r="Y365" s="29"/>
      <c r="Z365" s="29"/>
      <c r="AA365" s="29"/>
      <c r="AB365" s="29"/>
      <c r="AC365" s="29"/>
      <c r="AD365" s="29"/>
      <c r="AE365" s="29"/>
      <c r="AF365" s="29"/>
    </row>
    <row r="366" spans="3:32" x14ac:dyDescent="0.35">
      <c r="C366" s="72"/>
      <c r="D366" s="72"/>
      <c r="E366" s="72"/>
      <c r="F366" s="72"/>
      <c r="G366" s="72"/>
      <c r="H366" s="72"/>
      <c r="I366" s="72"/>
      <c r="J366" s="72"/>
      <c r="K366" s="72"/>
      <c r="L366" s="72"/>
      <c r="M366" s="72"/>
      <c r="N366" s="72"/>
      <c r="O366" s="72"/>
      <c r="P366" s="72"/>
      <c r="Q366" s="29"/>
      <c r="R366" s="29"/>
      <c r="S366" s="29"/>
      <c r="T366" s="29"/>
      <c r="U366" s="29"/>
      <c r="V366" s="29"/>
      <c r="W366" s="29"/>
      <c r="X366" s="29"/>
      <c r="Y366" s="29"/>
      <c r="Z366" s="29"/>
      <c r="AA366" s="29"/>
      <c r="AB366" s="29"/>
      <c r="AC366" s="29"/>
      <c r="AD366" s="29"/>
      <c r="AE366" s="29"/>
      <c r="AF366" s="29"/>
    </row>
    <row r="367" spans="3:32" x14ac:dyDescent="0.35">
      <c r="C367" s="72"/>
      <c r="D367" s="72"/>
      <c r="E367" s="72"/>
      <c r="F367" s="72"/>
      <c r="G367" s="72"/>
      <c r="H367" s="72"/>
      <c r="I367" s="72"/>
      <c r="J367" s="72"/>
      <c r="K367" s="72"/>
      <c r="L367" s="72"/>
      <c r="M367" s="72"/>
      <c r="N367" s="72"/>
      <c r="O367" s="72"/>
      <c r="P367" s="72"/>
      <c r="Q367" s="29"/>
      <c r="R367" s="29"/>
      <c r="S367" s="29"/>
      <c r="T367" s="29"/>
      <c r="U367" s="29"/>
      <c r="V367" s="29"/>
      <c r="W367" s="29"/>
      <c r="X367" s="29"/>
      <c r="Y367" s="29"/>
      <c r="Z367" s="29"/>
      <c r="AA367" s="29"/>
      <c r="AB367" s="29"/>
      <c r="AC367" s="29"/>
      <c r="AD367" s="29"/>
      <c r="AE367" s="29"/>
      <c r="AF367" s="29"/>
    </row>
    <row r="368" spans="3:32" x14ac:dyDescent="0.35">
      <c r="C368" s="72"/>
      <c r="D368" s="72"/>
      <c r="E368" s="72"/>
      <c r="F368" s="72"/>
      <c r="G368" s="72"/>
      <c r="H368" s="72"/>
      <c r="I368" s="72"/>
      <c r="J368" s="72"/>
      <c r="K368" s="72"/>
      <c r="L368" s="72"/>
      <c r="M368" s="72"/>
      <c r="N368" s="72"/>
      <c r="O368" s="72"/>
      <c r="P368" s="72"/>
      <c r="Q368" s="29"/>
      <c r="R368" s="29"/>
      <c r="S368" s="29"/>
      <c r="T368" s="29"/>
      <c r="U368" s="29"/>
      <c r="V368" s="29"/>
      <c r="W368" s="29"/>
      <c r="X368" s="29"/>
      <c r="Y368" s="29"/>
      <c r="Z368" s="29"/>
      <c r="AA368" s="29"/>
      <c r="AB368" s="29"/>
      <c r="AC368" s="29"/>
      <c r="AD368" s="29"/>
      <c r="AE368" s="29"/>
      <c r="AF368" s="29"/>
    </row>
    <row r="369" spans="3:32" x14ac:dyDescent="0.35">
      <c r="C369" s="72"/>
      <c r="D369" s="72"/>
      <c r="E369" s="72"/>
      <c r="F369" s="72"/>
      <c r="G369" s="72"/>
      <c r="H369" s="72"/>
      <c r="I369" s="72"/>
      <c r="J369" s="72"/>
      <c r="K369" s="72"/>
      <c r="L369" s="72"/>
      <c r="M369" s="72"/>
      <c r="N369" s="72"/>
      <c r="O369" s="72"/>
      <c r="P369" s="72"/>
      <c r="Q369" s="29"/>
      <c r="R369" s="29"/>
      <c r="S369" s="29"/>
      <c r="T369" s="29"/>
      <c r="U369" s="29"/>
      <c r="V369" s="29"/>
      <c r="W369" s="29"/>
      <c r="X369" s="29"/>
      <c r="Y369" s="29"/>
      <c r="Z369" s="29"/>
      <c r="AA369" s="29"/>
      <c r="AB369" s="29"/>
      <c r="AC369" s="29"/>
      <c r="AD369" s="29"/>
      <c r="AE369" s="29"/>
      <c r="AF369" s="29"/>
    </row>
    <row r="370" spans="3:32" x14ac:dyDescent="0.35">
      <c r="C370" s="72"/>
      <c r="D370" s="72"/>
      <c r="E370" s="72"/>
      <c r="F370" s="72"/>
      <c r="G370" s="72"/>
      <c r="H370" s="72"/>
      <c r="I370" s="72"/>
      <c r="J370" s="72"/>
      <c r="K370" s="72"/>
      <c r="L370" s="72"/>
      <c r="M370" s="72"/>
      <c r="N370" s="72"/>
      <c r="O370" s="72"/>
      <c r="P370" s="72"/>
      <c r="Q370" s="29"/>
      <c r="R370" s="29"/>
      <c r="S370" s="29"/>
      <c r="T370" s="29"/>
      <c r="U370" s="29"/>
      <c r="V370" s="29"/>
      <c r="W370" s="29"/>
      <c r="X370" s="29"/>
      <c r="Y370" s="29"/>
      <c r="Z370" s="29"/>
      <c r="AA370" s="29"/>
      <c r="AB370" s="29"/>
      <c r="AC370" s="29"/>
      <c r="AD370" s="29"/>
      <c r="AE370" s="29"/>
      <c r="AF370" s="29"/>
    </row>
    <row r="371" spans="3:32" x14ac:dyDescent="0.35">
      <c r="C371" s="72"/>
      <c r="D371" s="72"/>
      <c r="E371" s="72"/>
      <c r="F371" s="72"/>
      <c r="G371" s="72"/>
      <c r="H371" s="72"/>
      <c r="I371" s="72"/>
      <c r="J371" s="72"/>
      <c r="K371" s="72"/>
      <c r="L371" s="72"/>
      <c r="M371" s="72"/>
      <c r="N371" s="72"/>
      <c r="O371" s="72"/>
      <c r="P371" s="72"/>
      <c r="Q371" s="29"/>
      <c r="R371" s="29"/>
      <c r="S371" s="29"/>
      <c r="T371" s="29"/>
      <c r="U371" s="29"/>
      <c r="V371" s="29"/>
      <c r="W371" s="29"/>
      <c r="X371" s="29"/>
      <c r="Y371" s="29"/>
      <c r="Z371" s="29"/>
      <c r="AA371" s="29"/>
      <c r="AB371" s="29"/>
      <c r="AC371" s="29"/>
      <c r="AD371" s="29"/>
      <c r="AE371" s="29"/>
      <c r="AF371" s="29"/>
    </row>
    <row r="372" spans="3:32" x14ac:dyDescent="0.35">
      <c r="C372" s="72"/>
      <c r="D372" s="72"/>
      <c r="E372" s="72"/>
      <c r="F372" s="72"/>
      <c r="G372" s="72"/>
      <c r="H372" s="72"/>
      <c r="I372" s="72"/>
      <c r="J372" s="72"/>
      <c r="K372" s="72"/>
      <c r="L372" s="72"/>
      <c r="M372" s="72"/>
      <c r="N372" s="72"/>
      <c r="O372" s="72"/>
      <c r="P372" s="72"/>
      <c r="Q372" s="29"/>
      <c r="R372" s="29"/>
      <c r="S372" s="29"/>
      <c r="T372" s="29"/>
      <c r="U372" s="29"/>
      <c r="V372" s="29"/>
      <c r="W372" s="29"/>
      <c r="X372" s="29"/>
      <c r="Y372" s="29"/>
      <c r="Z372" s="29"/>
      <c r="AA372" s="29"/>
      <c r="AB372" s="29"/>
      <c r="AC372" s="29"/>
      <c r="AD372" s="29"/>
      <c r="AE372" s="29"/>
      <c r="AF372" s="29"/>
    </row>
    <row r="373" spans="3:32" x14ac:dyDescent="0.35">
      <c r="C373" s="72"/>
      <c r="D373" s="72"/>
      <c r="E373" s="72"/>
      <c r="F373" s="72"/>
      <c r="G373" s="72"/>
      <c r="H373" s="72"/>
      <c r="I373" s="72"/>
      <c r="J373" s="72"/>
      <c r="K373" s="72"/>
      <c r="L373" s="72"/>
      <c r="M373" s="72"/>
      <c r="N373" s="72"/>
      <c r="O373" s="72"/>
      <c r="P373" s="72"/>
      <c r="Q373" s="29"/>
      <c r="R373" s="29"/>
      <c r="S373" s="29"/>
      <c r="T373" s="29"/>
      <c r="U373" s="29"/>
      <c r="V373" s="29"/>
      <c r="W373" s="29"/>
      <c r="X373" s="29"/>
      <c r="Y373" s="29"/>
      <c r="Z373" s="29"/>
      <c r="AA373" s="29"/>
      <c r="AB373" s="29"/>
      <c r="AC373" s="29"/>
      <c r="AD373" s="29"/>
      <c r="AE373" s="29"/>
      <c r="AF373" s="29"/>
    </row>
    <row r="374" spans="3:32" x14ac:dyDescent="0.35">
      <c r="C374" s="72"/>
      <c r="D374" s="72"/>
      <c r="E374" s="72"/>
      <c r="F374" s="72"/>
      <c r="G374" s="72"/>
      <c r="H374" s="72"/>
      <c r="I374" s="72"/>
      <c r="J374" s="72"/>
      <c r="K374" s="72"/>
      <c r="L374" s="72"/>
      <c r="M374" s="72"/>
      <c r="N374" s="72"/>
      <c r="O374" s="72"/>
      <c r="P374" s="72"/>
      <c r="Q374" s="29"/>
      <c r="R374" s="29"/>
      <c r="S374" s="29"/>
      <c r="T374" s="29"/>
      <c r="U374" s="29"/>
      <c r="V374" s="29"/>
      <c r="W374" s="29"/>
      <c r="X374" s="29"/>
      <c r="Y374" s="29"/>
      <c r="Z374" s="29"/>
      <c r="AA374" s="29"/>
      <c r="AB374" s="29"/>
      <c r="AC374" s="29"/>
      <c r="AD374" s="29"/>
      <c r="AE374" s="29"/>
      <c r="AF374" s="29"/>
    </row>
    <row r="375" spans="3:32" x14ac:dyDescent="0.35">
      <c r="C375" s="72"/>
      <c r="D375" s="72"/>
      <c r="E375" s="72"/>
      <c r="F375" s="72"/>
      <c r="G375" s="72"/>
      <c r="H375" s="72"/>
      <c r="I375" s="72"/>
      <c r="J375" s="72"/>
      <c r="K375" s="72"/>
      <c r="L375" s="72"/>
      <c r="M375" s="72"/>
      <c r="N375" s="72"/>
      <c r="O375" s="72"/>
      <c r="P375" s="72"/>
      <c r="Q375" s="29"/>
      <c r="R375" s="29"/>
      <c r="S375" s="29"/>
      <c r="T375" s="29"/>
      <c r="U375" s="29"/>
      <c r="V375" s="29"/>
      <c r="W375" s="29"/>
      <c r="X375" s="29"/>
      <c r="Y375" s="29"/>
      <c r="Z375" s="29"/>
      <c r="AA375" s="29"/>
      <c r="AB375" s="29"/>
      <c r="AC375" s="29"/>
      <c r="AD375" s="29"/>
      <c r="AE375" s="29"/>
      <c r="AF375" s="29"/>
    </row>
    <row r="376" spans="3:32" x14ac:dyDescent="0.35">
      <c r="C376" s="72"/>
      <c r="D376" s="72"/>
      <c r="E376" s="72"/>
      <c r="F376" s="72"/>
      <c r="G376" s="72"/>
      <c r="H376" s="72"/>
      <c r="I376" s="72"/>
      <c r="J376" s="72"/>
      <c r="K376" s="72"/>
      <c r="L376" s="72"/>
      <c r="M376" s="72"/>
      <c r="N376" s="72"/>
      <c r="O376" s="72"/>
      <c r="P376" s="72"/>
      <c r="Q376" s="29"/>
      <c r="R376" s="29"/>
      <c r="S376" s="29"/>
      <c r="T376" s="29"/>
      <c r="U376" s="29"/>
      <c r="V376" s="29"/>
      <c r="W376" s="29"/>
      <c r="X376" s="29"/>
      <c r="Y376" s="29"/>
      <c r="Z376" s="29"/>
      <c r="AA376" s="29"/>
      <c r="AB376" s="29"/>
      <c r="AC376" s="29"/>
      <c r="AD376" s="29"/>
      <c r="AE376" s="29"/>
      <c r="AF376" s="29"/>
    </row>
    <row r="377" spans="3:32" x14ac:dyDescent="0.35">
      <c r="C377" s="72"/>
      <c r="D377" s="72"/>
      <c r="E377" s="72"/>
      <c r="F377" s="72"/>
      <c r="G377" s="72"/>
      <c r="H377" s="72"/>
      <c r="I377" s="72"/>
      <c r="J377" s="72"/>
      <c r="K377" s="72"/>
      <c r="L377" s="72"/>
      <c r="M377" s="72"/>
      <c r="N377" s="72"/>
      <c r="O377" s="72"/>
      <c r="P377" s="72"/>
      <c r="Q377" s="29"/>
      <c r="R377" s="29"/>
      <c r="S377" s="29"/>
      <c r="T377" s="29"/>
      <c r="U377" s="29"/>
      <c r="V377" s="29"/>
      <c r="W377" s="29"/>
      <c r="X377" s="29"/>
      <c r="Y377" s="29"/>
      <c r="Z377" s="29"/>
      <c r="AA377" s="29"/>
      <c r="AB377" s="29"/>
      <c r="AC377" s="29"/>
      <c r="AD377" s="29"/>
      <c r="AE377" s="29"/>
      <c r="AF377" s="29"/>
    </row>
    <row r="378" spans="3:32" x14ac:dyDescent="0.35">
      <c r="C378" s="72"/>
      <c r="D378" s="72"/>
      <c r="E378" s="72"/>
      <c r="F378" s="72"/>
      <c r="G378" s="72"/>
      <c r="H378" s="72"/>
      <c r="I378" s="72"/>
      <c r="J378" s="72"/>
      <c r="K378" s="72"/>
      <c r="L378" s="72"/>
      <c r="M378" s="72"/>
      <c r="N378" s="72"/>
      <c r="O378" s="72"/>
      <c r="P378" s="72"/>
      <c r="Q378" s="29"/>
      <c r="R378" s="29"/>
      <c r="S378" s="29"/>
      <c r="T378" s="29"/>
      <c r="U378" s="29"/>
      <c r="V378" s="29"/>
      <c r="W378" s="29"/>
      <c r="X378" s="29"/>
      <c r="Y378" s="29"/>
      <c r="Z378" s="29"/>
      <c r="AA378" s="29"/>
      <c r="AB378" s="29"/>
      <c r="AC378" s="29"/>
      <c r="AD378" s="29"/>
      <c r="AE378" s="29"/>
      <c r="AF378" s="29"/>
    </row>
    <row r="379" spans="3:32" x14ac:dyDescent="0.35">
      <c r="C379" s="72"/>
      <c r="D379" s="72"/>
      <c r="E379" s="72"/>
      <c r="F379" s="72"/>
      <c r="G379" s="72"/>
      <c r="H379" s="72"/>
      <c r="I379" s="72"/>
      <c r="J379" s="72"/>
      <c r="K379" s="72"/>
      <c r="L379" s="72"/>
      <c r="M379" s="72"/>
      <c r="N379" s="72"/>
      <c r="O379" s="72"/>
      <c r="P379" s="72"/>
      <c r="Q379" s="29"/>
      <c r="R379" s="29"/>
      <c r="S379" s="29"/>
      <c r="T379" s="29"/>
      <c r="U379" s="29"/>
      <c r="V379" s="29"/>
      <c r="W379" s="29"/>
      <c r="X379" s="29"/>
      <c r="Y379" s="29"/>
      <c r="Z379" s="29"/>
      <c r="AA379" s="29"/>
      <c r="AB379" s="29"/>
      <c r="AC379" s="29"/>
      <c r="AD379" s="29"/>
      <c r="AE379" s="29"/>
      <c r="AF379" s="29"/>
    </row>
    <row r="380" spans="3:32" x14ac:dyDescent="0.35">
      <c r="C380" s="72"/>
      <c r="D380" s="72"/>
      <c r="E380" s="72"/>
      <c r="F380" s="72"/>
      <c r="G380" s="72"/>
      <c r="H380" s="72"/>
      <c r="I380" s="72"/>
      <c r="J380" s="72"/>
      <c r="K380" s="72"/>
      <c r="L380" s="72"/>
      <c r="M380" s="72"/>
      <c r="N380" s="72"/>
      <c r="O380" s="72"/>
      <c r="P380" s="72"/>
      <c r="Q380" s="29"/>
      <c r="R380" s="29"/>
      <c r="S380" s="29"/>
      <c r="T380" s="29"/>
      <c r="U380" s="29"/>
      <c r="V380" s="29"/>
      <c r="W380" s="29"/>
      <c r="X380" s="29"/>
      <c r="Y380" s="29"/>
      <c r="Z380" s="29"/>
      <c r="AA380" s="29"/>
      <c r="AB380" s="29"/>
      <c r="AC380" s="29"/>
      <c r="AD380" s="29"/>
      <c r="AE380" s="29"/>
      <c r="AF380" s="29"/>
    </row>
    <row r="381" spans="3:32" x14ac:dyDescent="0.35">
      <c r="C381" s="72"/>
      <c r="D381" s="72"/>
      <c r="E381" s="72"/>
      <c r="F381" s="72"/>
      <c r="G381" s="72"/>
      <c r="H381" s="72"/>
      <c r="I381" s="72"/>
      <c r="J381" s="72"/>
      <c r="K381" s="72"/>
      <c r="L381" s="72"/>
      <c r="M381" s="72"/>
      <c r="N381" s="72"/>
      <c r="O381" s="72"/>
      <c r="P381" s="72"/>
      <c r="Q381" s="29"/>
      <c r="R381" s="29"/>
      <c r="S381" s="29"/>
      <c r="T381" s="29"/>
      <c r="U381" s="29"/>
      <c r="V381" s="29"/>
      <c r="W381" s="29"/>
      <c r="X381" s="29"/>
      <c r="Y381" s="29"/>
      <c r="Z381" s="29"/>
      <c r="AA381" s="29"/>
      <c r="AB381" s="29"/>
      <c r="AC381" s="29"/>
      <c r="AD381" s="29"/>
      <c r="AE381" s="29"/>
      <c r="AF381" s="29"/>
    </row>
    <row r="382" spans="3:32" x14ac:dyDescent="0.35">
      <c r="C382" s="72"/>
      <c r="D382" s="72"/>
      <c r="E382" s="72"/>
      <c r="F382" s="72"/>
      <c r="G382" s="72"/>
      <c r="H382" s="72"/>
      <c r="I382" s="72"/>
      <c r="J382" s="72"/>
      <c r="K382" s="72"/>
      <c r="L382" s="72"/>
      <c r="M382" s="72"/>
      <c r="N382" s="72"/>
      <c r="O382" s="72"/>
      <c r="P382" s="72"/>
      <c r="Q382" s="29"/>
      <c r="R382" s="29"/>
      <c r="S382" s="29"/>
      <c r="T382" s="29"/>
      <c r="U382" s="29"/>
      <c r="V382" s="29"/>
      <c r="W382" s="29"/>
      <c r="X382" s="29"/>
      <c r="Y382" s="29"/>
      <c r="Z382" s="29"/>
      <c r="AA382" s="29"/>
      <c r="AB382" s="29"/>
      <c r="AC382" s="29"/>
      <c r="AD382" s="29"/>
      <c r="AE382" s="29"/>
      <c r="AF382" s="29"/>
    </row>
    <row r="383" spans="3:32" x14ac:dyDescent="0.35">
      <c r="C383" s="72"/>
      <c r="D383" s="72"/>
      <c r="E383" s="72"/>
      <c r="F383" s="72"/>
      <c r="G383" s="72"/>
      <c r="H383" s="72"/>
      <c r="I383" s="72"/>
      <c r="J383" s="72"/>
      <c r="K383" s="72"/>
      <c r="L383" s="72"/>
      <c r="M383" s="72"/>
      <c r="N383" s="72"/>
      <c r="O383" s="72"/>
      <c r="P383" s="72"/>
      <c r="Q383" s="29"/>
      <c r="R383" s="29"/>
      <c r="S383" s="29"/>
      <c r="T383" s="29"/>
      <c r="U383" s="29"/>
      <c r="V383" s="29"/>
      <c r="W383" s="29"/>
      <c r="X383" s="29"/>
      <c r="Y383" s="29"/>
      <c r="Z383" s="29"/>
      <c r="AA383" s="29"/>
      <c r="AB383" s="29"/>
      <c r="AC383" s="29"/>
      <c r="AD383" s="29"/>
      <c r="AE383" s="29"/>
      <c r="AF383" s="29"/>
    </row>
    <row r="384" spans="3:32" x14ac:dyDescent="0.35">
      <c r="C384" s="72"/>
      <c r="D384" s="72"/>
      <c r="E384" s="72"/>
      <c r="F384" s="72"/>
      <c r="G384" s="72"/>
      <c r="H384" s="72"/>
      <c r="I384" s="72"/>
      <c r="J384" s="72"/>
      <c r="K384" s="72"/>
      <c r="L384" s="72"/>
      <c r="M384" s="72"/>
      <c r="N384" s="72"/>
      <c r="O384" s="72"/>
      <c r="P384" s="72"/>
      <c r="Q384" s="29"/>
      <c r="R384" s="29"/>
      <c r="S384" s="29"/>
      <c r="T384" s="29"/>
      <c r="U384" s="29"/>
      <c r="V384" s="29"/>
      <c r="W384" s="29"/>
      <c r="X384" s="29"/>
      <c r="Y384" s="29"/>
      <c r="Z384" s="29"/>
      <c r="AA384" s="29"/>
      <c r="AB384" s="29"/>
      <c r="AC384" s="29"/>
      <c r="AD384" s="29"/>
      <c r="AE384" s="29"/>
      <c r="AF384" s="29"/>
    </row>
    <row r="385" spans="3:32" x14ac:dyDescent="0.35">
      <c r="C385" s="72"/>
      <c r="D385" s="72"/>
      <c r="E385" s="72"/>
      <c r="F385" s="72"/>
      <c r="G385" s="72"/>
      <c r="H385" s="72"/>
      <c r="I385" s="72"/>
      <c r="J385" s="72"/>
      <c r="K385" s="72"/>
      <c r="L385" s="72"/>
      <c r="M385" s="72"/>
      <c r="N385" s="72"/>
      <c r="O385" s="72"/>
      <c r="P385" s="72"/>
      <c r="Q385" s="29"/>
      <c r="R385" s="29"/>
      <c r="S385" s="29"/>
      <c r="T385" s="29"/>
      <c r="U385" s="29"/>
      <c r="V385" s="29"/>
      <c r="W385" s="29"/>
      <c r="X385" s="29"/>
      <c r="Y385" s="29"/>
      <c r="Z385" s="29"/>
      <c r="AA385" s="29"/>
      <c r="AB385" s="29"/>
      <c r="AC385" s="29"/>
      <c r="AD385" s="29"/>
      <c r="AE385" s="29"/>
      <c r="AF385" s="29"/>
    </row>
    <row r="386" spans="3:32" x14ac:dyDescent="0.35">
      <c r="C386" s="72"/>
      <c r="D386" s="72"/>
      <c r="E386" s="72"/>
      <c r="F386" s="72"/>
      <c r="G386" s="72"/>
      <c r="H386" s="72"/>
      <c r="I386" s="72"/>
      <c r="J386" s="72"/>
      <c r="K386" s="72"/>
      <c r="L386" s="72"/>
      <c r="M386" s="72"/>
      <c r="N386" s="72"/>
      <c r="O386" s="72"/>
      <c r="P386" s="72"/>
      <c r="Q386" s="29"/>
      <c r="R386" s="29"/>
      <c r="S386" s="29"/>
      <c r="T386" s="29"/>
      <c r="U386" s="29"/>
      <c r="V386" s="29"/>
      <c r="W386" s="29"/>
      <c r="X386" s="29"/>
      <c r="Y386" s="29"/>
      <c r="Z386" s="29"/>
      <c r="AA386" s="29"/>
      <c r="AB386" s="29"/>
      <c r="AC386" s="29"/>
      <c r="AD386" s="29"/>
      <c r="AE386" s="29"/>
      <c r="AF386" s="29"/>
    </row>
    <row r="387" spans="3:32" x14ac:dyDescent="0.35">
      <c r="C387" s="72"/>
      <c r="D387" s="72"/>
      <c r="E387" s="72"/>
      <c r="F387" s="72"/>
      <c r="G387" s="72"/>
      <c r="H387" s="72"/>
      <c r="I387" s="72"/>
      <c r="J387" s="72"/>
      <c r="K387" s="72"/>
      <c r="L387" s="72"/>
      <c r="M387" s="72"/>
      <c r="N387" s="72"/>
      <c r="O387" s="72"/>
      <c r="P387" s="72"/>
      <c r="Q387" s="29"/>
      <c r="R387" s="29"/>
      <c r="S387" s="29"/>
      <c r="T387" s="29"/>
      <c r="U387" s="29"/>
      <c r="V387" s="29"/>
      <c r="W387" s="29"/>
      <c r="X387" s="29"/>
      <c r="Y387" s="29"/>
      <c r="Z387" s="29"/>
      <c r="AA387" s="29"/>
      <c r="AB387" s="29"/>
      <c r="AC387" s="29"/>
      <c r="AD387" s="29"/>
      <c r="AE387" s="29"/>
      <c r="AF387" s="29"/>
    </row>
    <row r="388" spans="3:32" x14ac:dyDescent="0.35">
      <c r="C388" s="72"/>
      <c r="D388" s="72"/>
      <c r="E388" s="72"/>
      <c r="F388" s="72"/>
      <c r="G388" s="72"/>
      <c r="H388" s="72"/>
      <c r="I388" s="72"/>
      <c r="J388" s="72"/>
      <c r="K388" s="72"/>
      <c r="L388" s="72"/>
      <c r="M388" s="72"/>
      <c r="N388" s="72"/>
      <c r="O388" s="72"/>
      <c r="P388" s="72"/>
      <c r="Q388" s="29"/>
      <c r="R388" s="29"/>
      <c r="S388" s="29"/>
      <c r="T388" s="29"/>
      <c r="U388" s="29"/>
      <c r="V388" s="29"/>
      <c r="W388" s="29"/>
      <c r="X388" s="29"/>
      <c r="Y388" s="29"/>
      <c r="Z388" s="29"/>
      <c r="AA388" s="29"/>
      <c r="AB388" s="29"/>
      <c r="AC388" s="29"/>
      <c r="AD388" s="29"/>
      <c r="AE388" s="29"/>
      <c r="AF388" s="29"/>
    </row>
    <row r="389" spans="3:32" x14ac:dyDescent="0.35">
      <c r="C389" s="72"/>
      <c r="D389" s="72"/>
      <c r="E389" s="72"/>
      <c r="F389" s="72"/>
      <c r="G389" s="72"/>
      <c r="H389" s="72"/>
      <c r="I389" s="72"/>
      <c r="J389" s="72"/>
      <c r="K389" s="72"/>
      <c r="L389" s="72"/>
      <c r="M389" s="72"/>
      <c r="N389" s="72"/>
      <c r="O389" s="72"/>
      <c r="P389" s="72"/>
      <c r="Q389" s="29"/>
      <c r="R389" s="29"/>
      <c r="S389" s="29"/>
      <c r="T389" s="29"/>
      <c r="U389" s="29"/>
      <c r="V389" s="29"/>
      <c r="W389" s="29"/>
      <c r="X389" s="29"/>
      <c r="Y389" s="29"/>
      <c r="Z389" s="29"/>
      <c r="AA389" s="29"/>
      <c r="AB389" s="29"/>
      <c r="AC389" s="29"/>
      <c r="AD389" s="29"/>
      <c r="AE389" s="29"/>
      <c r="AF389" s="29"/>
    </row>
    <row r="390" spans="3:32" x14ac:dyDescent="0.35">
      <c r="C390" s="72"/>
      <c r="D390" s="72"/>
      <c r="E390" s="72"/>
      <c r="F390" s="72"/>
      <c r="G390" s="72"/>
      <c r="H390" s="72"/>
      <c r="I390" s="72"/>
      <c r="J390" s="72"/>
      <c r="K390" s="72"/>
      <c r="L390" s="72"/>
      <c r="M390" s="72"/>
      <c r="N390" s="72"/>
      <c r="O390" s="72"/>
      <c r="P390" s="72"/>
      <c r="Q390" s="29"/>
      <c r="R390" s="29"/>
      <c r="S390" s="29"/>
      <c r="T390" s="29"/>
      <c r="U390" s="29"/>
      <c r="V390" s="29"/>
      <c r="W390" s="29"/>
      <c r="X390" s="29"/>
      <c r="Y390" s="29"/>
      <c r="Z390" s="29"/>
      <c r="AA390" s="29"/>
      <c r="AB390" s="29"/>
      <c r="AC390" s="29"/>
      <c r="AD390" s="29"/>
      <c r="AE390" s="29"/>
      <c r="AF390" s="29"/>
    </row>
    <row r="391" spans="3:32" x14ac:dyDescent="0.35">
      <c r="C391" s="72"/>
      <c r="D391" s="72"/>
      <c r="E391" s="72"/>
      <c r="F391" s="72"/>
      <c r="G391" s="72"/>
      <c r="H391" s="72"/>
      <c r="I391" s="72"/>
      <c r="J391" s="72"/>
      <c r="K391" s="72"/>
      <c r="L391" s="72"/>
      <c r="M391" s="72"/>
      <c r="N391" s="72"/>
      <c r="O391" s="72"/>
      <c r="P391" s="72"/>
      <c r="Q391" s="29"/>
      <c r="R391" s="29"/>
      <c r="S391" s="29"/>
      <c r="T391" s="29"/>
      <c r="U391" s="29"/>
      <c r="V391" s="29"/>
      <c r="W391" s="29"/>
      <c r="X391" s="29"/>
      <c r="Y391" s="29"/>
      <c r="Z391" s="29"/>
      <c r="AA391" s="29"/>
      <c r="AB391" s="29"/>
      <c r="AC391" s="29"/>
      <c r="AD391" s="29"/>
      <c r="AE391" s="29"/>
      <c r="AF391" s="29"/>
    </row>
    <row r="392" spans="3:32" x14ac:dyDescent="0.35">
      <c r="C392" s="72"/>
      <c r="D392" s="72"/>
      <c r="E392" s="72"/>
      <c r="F392" s="72"/>
      <c r="G392" s="72"/>
      <c r="H392" s="72"/>
      <c r="I392" s="72"/>
      <c r="J392" s="72"/>
      <c r="K392" s="72"/>
      <c r="L392" s="72"/>
      <c r="M392" s="72"/>
      <c r="N392" s="72"/>
      <c r="O392" s="72"/>
      <c r="P392" s="72"/>
      <c r="Q392" s="29"/>
      <c r="R392" s="29"/>
      <c r="S392" s="29"/>
      <c r="T392" s="29"/>
      <c r="U392" s="29"/>
      <c r="V392" s="29"/>
      <c r="W392" s="29"/>
      <c r="X392" s="29"/>
      <c r="Y392" s="29"/>
      <c r="Z392" s="29"/>
      <c r="AA392" s="29"/>
      <c r="AB392" s="29"/>
      <c r="AC392" s="29"/>
      <c r="AD392" s="29"/>
      <c r="AE392" s="29"/>
      <c r="AF392" s="29"/>
    </row>
    <row r="393" spans="3:32" x14ac:dyDescent="0.35">
      <c r="C393" s="72"/>
      <c r="D393" s="72"/>
      <c r="E393" s="72"/>
      <c r="F393" s="72"/>
      <c r="G393" s="72"/>
      <c r="H393" s="72"/>
      <c r="I393" s="72"/>
      <c r="J393" s="72"/>
      <c r="K393" s="72"/>
      <c r="L393" s="72"/>
      <c r="M393" s="72"/>
      <c r="N393" s="72"/>
      <c r="O393" s="72"/>
      <c r="P393" s="72"/>
      <c r="Q393" s="29"/>
      <c r="R393" s="29"/>
      <c r="S393" s="29"/>
      <c r="T393" s="29"/>
      <c r="U393" s="29"/>
      <c r="V393" s="29"/>
      <c r="W393" s="29"/>
      <c r="X393" s="29"/>
      <c r="Y393" s="29"/>
      <c r="Z393" s="29"/>
      <c r="AA393" s="29"/>
      <c r="AB393" s="29"/>
      <c r="AC393" s="29"/>
      <c r="AD393" s="29"/>
      <c r="AE393" s="29"/>
      <c r="AF393" s="29"/>
    </row>
    <row r="394" spans="3:32" x14ac:dyDescent="0.35">
      <c r="C394" s="72"/>
      <c r="D394" s="72"/>
      <c r="E394" s="72"/>
      <c r="F394" s="72"/>
      <c r="G394" s="72"/>
      <c r="H394" s="72"/>
      <c r="I394" s="72"/>
      <c r="J394" s="72"/>
      <c r="K394" s="72"/>
      <c r="L394" s="72"/>
      <c r="M394" s="72"/>
      <c r="N394" s="72"/>
      <c r="O394" s="72"/>
      <c r="P394" s="72"/>
      <c r="Q394" s="29"/>
      <c r="R394" s="29"/>
      <c r="S394" s="29"/>
      <c r="T394" s="29"/>
      <c r="U394" s="29"/>
      <c r="V394" s="29"/>
      <c r="W394" s="29"/>
      <c r="X394" s="29"/>
      <c r="Y394" s="29"/>
      <c r="Z394" s="29"/>
      <c r="AA394" s="29"/>
      <c r="AB394" s="29"/>
      <c r="AC394" s="29"/>
      <c r="AD394" s="29"/>
      <c r="AE394" s="29"/>
      <c r="AF394" s="29"/>
    </row>
    <row r="395" spans="3:32" x14ac:dyDescent="0.35">
      <c r="C395" s="72"/>
      <c r="D395" s="72"/>
      <c r="E395" s="72"/>
      <c r="F395" s="72"/>
      <c r="G395" s="72"/>
      <c r="H395" s="72"/>
      <c r="I395" s="72"/>
      <c r="J395" s="72"/>
      <c r="K395" s="72"/>
      <c r="L395" s="72"/>
      <c r="M395" s="72"/>
      <c r="N395" s="72"/>
      <c r="O395" s="72"/>
      <c r="P395" s="72"/>
      <c r="Q395" s="29"/>
      <c r="R395" s="29"/>
      <c r="S395" s="29"/>
      <c r="T395" s="29"/>
      <c r="U395" s="29"/>
      <c r="V395" s="29"/>
      <c r="W395" s="29"/>
      <c r="X395" s="29"/>
      <c r="Y395" s="29"/>
      <c r="Z395" s="29"/>
      <c r="AA395" s="29"/>
      <c r="AB395" s="29"/>
      <c r="AC395" s="29"/>
      <c r="AD395" s="29"/>
      <c r="AE395" s="29"/>
      <c r="AF395" s="29"/>
    </row>
    <row r="396" spans="3:32" x14ac:dyDescent="0.35">
      <c r="C396" s="72"/>
      <c r="D396" s="72"/>
      <c r="E396" s="72"/>
      <c r="F396" s="72"/>
      <c r="G396" s="72"/>
      <c r="H396" s="72"/>
      <c r="I396" s="72"/>
      <c r="J396" s="72"/>
      <c r="K396" s="72"/>
      <c r="L396" s="72"/>
      <c r="M396" s="72"/>
      <c r="N396" s="72"/>
      <c r="O396" s="72"/>
      <c r="P396" s="72"/>
      <c r="Q396" s="29"/>
      <c r="R396" s="29"/>
      <c r="S396" s="29"/>
      <c r="T396" s="29"/>
      <c r="U396" s="29"/>
      <c r="V396" s="29"/>
      <c r="W396" s="29"/>
      <c r="X396" s="29"/>
      <c r="Y396" s="29"/>
      <c r="Z396" s="29"/>
      <c r="AA396" s="29"/>
      <c r="AB396" s="29"/>
      <c r="AC396" s="29"/>
      <c r="AD396" s="29"/>
      <c r="AE396" s="29"/>
      <c r="AF396" s="29"/>
    </row>
    <row r="401" spans="2:16" x14ac:dyDescent="0.35">
      <c r="C401" s="112" t="s">
        <v>434</v>
      </c>
      <c r="D401" s="105"/>
      <c r="E401" s="105"/>
      <c r="H401" s="104" t="s">
        <v>452</v>
      </c>
      <c r="I401" s="105"/>
      <c r="J401" s="105"/>
      <c r="K401" s="105"/>
      <c r="L401" s="105"/>
      <c r="M401" s="105"/>
      <c r="N401" s="105"/>
      <c r="O401" s="105"/>
      <c r="P401" s="105"/>
    </row>
    <row r="402" spans="2:16" x14ac:dyDescent="0.35">
      <c r="C402" s="105"/>
      <c r="D402" s="105"/>
      <c r="E402" s="105"/>
      <c r="H402" s="106"/>
      <c r="I402" s="106"/>
      <c r="J402" s="106"/>
      <c r="K402" s="106"/>
      <c r="L402" s="106"/>
      <c r="M402" s="106"/>
      <c r="N402" s="106"/>
      <c r="O402" s="106"/>
      <c r="P402" s="106"/>
    </row>
    <row r="403" spans="2:16" x14ac:dyDescent="0.35">
      <c r="C403" s="113"/>
      <c r="D403" s="113"/>
      <c r="E403" s="113"/>
      <c r="H403" s="34"/>
      <c r="I403" s="34"/>
      <c r="J403" s="34"/>
      <c r="K403" s="34"/>
      <c r="L403" s="34"/>
      <c r="M403" s="34"/>
      <c r="N403" s="34"/>
      <c r="O403" s="34"/>
      <c r="P403" s="34"/>
    </row>
    <row r="404" spans="2:16" ht="17" x14ac:dyDescent="0.35">
      <c r="C404" s="114" t="s">
        <v>435</v>
      </c>
      <c r="D404" s="115"/>
      <c r="E404" s="115"/>
      <c r="H404" s="49"/>
      <c r="I404" s="92" t="s">
        <v>450</v>
      </c>
      <c r="J404" s="92"/>
      <c r="K404" s="49"/>
      <c r="L404" s="49"/>
      <c r="M404" s="49"/>
      <c r="N404" s="116" t="s">
        <v>451</v>
      </c>
      <c r="O404" s="116"/>
      <c r="P404" s="49"/>
    </row>
    <row r="405" spans="2:16" x14ac:dyDescent="0.35">
      <c r="C405" s="113"/>
      <c r="D405" s="113"/>
      <c r="E405" s="113"/>
      <c r="F405" s="10"/>
      <c r="G405" s="10"/>
      <c r="H405" s="34"/>
      <c r="I405" s="34"/>
      <c r="J405" s="34"/>
      <c r="K405" s="34"/>
      <c r="L405" s="34"/>
      <c r="M405" s="34"/>
      <c r="N405" s="34"/>
      <c r="O405" s="34"/>
      <c r="P405" s="34"/>
    </row>
    <row r="406" spans="2:16" x14ac:dyDescent="0.35">
      <c r="B406" s="10"/>
      <c r="D406" s="26">
        <f ca="1">IF('Raw Data'!C5 =  "", NOW(), 'Raw Data'!C5)</f>
        <v>45393</v>
      </c>
      <c r="H406" s="54"/>
      <c r="I406" s="55" t="s">
        <v>436</v>
      </c>
      <c r="J406" s="50" t="s">
        <v>437</v>
      </c>
      <c r="K406" s="50" t="s">
        <v>438</v>
      </c>
      <c r="N406" s="48"/>
      <c r="O406" s="35"/>
    </row>
    <row r="407" spans="2:16" x14ac:dyDescent="0.35">
      <c r="B407" s="10"/>
      <c r="D407" s="26">
        <f ca="1">IF('Raw Data'!B6 &lt;&gt; "", IF('Raw Data'!C6 =  "", NOW(), 'Raw Data'!C6), "")</f>
        <v>45396</v>
      </c>
      <c r="H407" s="51" t="s">
        <v>34</v>
      </c>
      <c r="I407" s="56">
        <v>7</v>
      </c>
      <c r="J407" s="56">
        <v>5</v>
      </c>
      <c r="K407" s="56">
        <v>3</v>
      </c>
      <c r="N407" s="51" t="s">
        <v>34</v>
      </c>
      <c r="O407" s="56">
        <v>5</v>
      </c>
    </row>
    <row r="408" spans="2:16" x14ac:dyDescent="0.35">
      <c r="B408" s="10"/>
      <c r="D408" s="26">
        <f ca="1">IF('Raw Data'!B7 &lt;&gt; "", IF('Raw Data'!C7 =  "", NOW(), 'Raw Data'!C7), "")</f>
        <v>45399</v>
      </c>
      <c r="H408" s="52" t="s">
        <v>35</v>
      </c>
      <c r="I408" s="56">
        <v>1200</v>
      </c>
      <c r="J408" s="56">
        <v>1000</v>
      </c>
      <c r="K408" s="56">
        <v>800</v>
      </c>
      <c r="N408" s="52" t="s">
        <v>35</v>
      </c>
      <c r="O408" s="56">
        <v>1200</v>
      </c>
    </row>
    <row r="409" spans="2:16" x14ac:dyDescent="0.35">
      <c r="B409" s="10"/>
      <c r="D409" s="26">
        <f ca="1">IF('Raw Data'!B8 &lt;&gt; "", IF('Raw Data'!C8 =  "", NOW(), 'Raw Data'!C8), "")</f>
        <v>45400</v>
      </c>
      <c r="H409" s="53" t="s">
        <v>40</v>
      </c>
      <c r="I409" s="56">
        <f>I407*I408</f>
        <v>8400</v>
      </c>
      <c r="J409" s="56">
        <f t="shared" ref="J409:K409" si="0">J407*J408</f>
        <v>5000</v>
      </c>
      <c r="K409" s="56">
        <f t="shared" si="0"/>
        <v>2400</v>
      </c>
      <c r="N409" s="53" t="s">
        <v>40</v>
      </c>
      <c r="O409" s="56">
        <f>O407*O408</f>
        <v>6000</v>
      </c>
    </row>
    <row r="410" spans="2:16" x14ac:dyDescent="0.35">
      <c r="B410" s="10"/>
      <c r="D410" s="26">
        <f ca="1">IF('Raw Data'!B9 &lt;&gt; "", IF('Raw Data'!C9 =  "", NOW(), 'Raw Data'!C9), "")</f>
        <v>45400</v>
      </c>
    </row>
    <row r="411" spans="2:16" x14ac:dyDescent="0.35">
      <c r="D411" s="26">
        <f ca="1">IF('Raw Data'!B10 &lt;&gt; "", IF('Raw Data'!C10 =  "", NOW(), 'Raw Data'!C10), "")</f>
        <v>45403</v>
      </c>
      <c r="H411" s="31"/>
      <c r="I411" s="31"/>
    </row>
    <row r="412" spans="2:16" x14ac:dyDescent="0.35">
      <c r="D412" s="26">
        <f ca="1">IF('Raw Data'!B11 &lt;&gt; "", IF('Raw Data'!C11 =  "", NOW(), 'Raw Data'!C11), "")</f>
        <v>45403</v>
      </c>
      <c r="H412" s="31"/>
      <c r="I412" s="31"/>
    </row>
    <row r="413" spans="2:16" x14ac:dyDescent="0.35">
      <c r="D413" s="26">
        <f ca="1">IF('Raw Data'!B12 &lt;&gt; "", IF('Raw Data'!C12 =  "", NOW(), 'Raw Data'!C12), "")</f>
        <v>45403</v>
      </c>
    </row>
    <row r="414" spans="2:16" ht="14.4" customHeight="1" x14ac:dyDescent="0.35">
      <c r="D414" s="26">
        <f ca="1">IF('Raw Data'!B13 &lt;&gt; "", IF('Raw Data'!C13 =  "", NOW(), 'Raw Data'!C13), "")</f>
        <v>45405</v>
      </c>
      <c r="H414" s="97" t="s">
        <v>478</v>
      </c>
      <c r="I414" s="97"/>
      <c r="J414" s="97"/>
      <c r="K414" s="97"/>
      <c r="L414" s="68"/>
    </row>
    <row r="415" spans="2:16" ht="14.4" customHeight="1" x14ac:dyDescent="0.35">
      <c r="D415" s="26">
        <f ca="1">IF('Raw Data'!B14 &lt;&gt; "", IF('Raw Data'!C14 =  "", NOW(), 'Raw Data'!C14), "")</f>
        <v>45408</v>
      </c>
      <c r="H415" s="97"/>
      <c r="I415" s="97"/>
      <c r="J415" s="97"/>
      <c r="K415" s="97"/>
      <c r="L415" s="68"/>
    </row>
    <row r="416" spans="2:16" ht="14.4" customHeight="1" x14ac:dyDescent="0.35">
      <c r="D416" s="26">
        <f ca="1">IF('Raw Data'!B15 &lt;&gt; "", IF('Raw Data'!C15 =  "", NOW(), 'Raw Data'!C15), "")</f>
        <v>45408</v>
      </c>
      <c r="H416" s="98"/>
      <c r="I416" s="98"/>
      <c r="J416" s="98"/>
      <c r="K416" s="98"/>
      <c r="L416" s="68"/>
    </row>
    <row r="417" spans="4:12" ht="17" x14ac:dyDescent="0.5">
      <c r="D417" s="26">
        <f ca="1">IF('Raw Data'!B16 &lt;&gt; "", IF('Raw Data'!C16 =  "", NOW(), 'Raw Data'!C16), "")</f>
        <v>45408</v>
      </c>
      <c r="H417" s="8"/>
      <c r="I417" s="69" t="s">
        <v>479</v>
      </c>
      <c r="J417" s="69"/>
      <c r="K417" s="69"/>
      <c r="L417" s="68"/>
    </row>
    <row r="418" spans="4:12" ht="14.4" customHeight="1" x14ac:dyDescent="0.35">
      <c r="D418" s="26">
        <f ca="1">IF('Raw Data'!B17 &lt;&gt; "", IF('Raw Data'!C17 =  "", NOW(), 'Raw Data'!C17), "")</f>
        <v>45408</v>
      </c>
      <c r="H418" s="98"/>
      <c r="I418" s="98"/>
      <c r="J418" s="98"/>
      <c r="K418" s="98"/>
      <c r="L418" s="68"/>
    </row>
    <row r="419" spans="4:12" x14ac:dyDescent="0.35">
      <c r="D419" s="26">
        <f ca="1">IF('Raw Data'!B18 &lt;&gt; "", IF('Raw Data'!C18 =  "", NOW(), 'Raw Data'!C18), "")</f>
        <v>45409</v>
      </c>
      <c r="I419" s="67">
        <f>SUMIF(Table2[Customer_ID], J419, Table2[Total_Amount])</f>
        <v>8309.739999999998</v>
      </c>
      <c r="J419" s="67" t="str" cm="1">
        <f t="array" ref="J419:J468">_xlfn.UNIQUE(Table2[Customer_ID])</f>
        <v>CUST023</v>
      </c>
    </row>
    <row r="420" spans="4:12" x14ac:dyDescent="0.35">
      <c r="D420" s="26">
        <f ca="1">IF('Raw Data'!B19 &lt;&gt; "", IF('Raw Data'!C19 =  "", NOW(), 'Raw Data'!C19), "")</f>
        <v>45409</v>
      </c>
      <c r="I420" s="67">
        <f>SUMIF(Table2[Customer_ID], J420, Table2[Total_Amount])</f>
        <v>6949.84</v>
      </c>
      <c r="J420" s="67" t="str">
        <v>CUST013</v>
      </c>
    </row>
    <row r="421" spans="4:12" x14ac:dyDescent="0.35">
      <c r="D421" s="26">
        <f ca="1">IF('Raw Data'!B20 &lt;&gt; "", IF('Raw Data'!C20 =  "", NOW(), 'Raw Data'!C20), "")</f>
        <v>45409</v>
      </c>
      <c r="I421" s="67">
        <f>SUMIF(Table2[Customer_ID], J421, Table2[Total_Amount])</f>
        <v>3259.87</v>
      </c>
      <c r="J421" s="67" t="str">
        <v>CUST021</v>
      </c>
    </row>
    <row r="422" spans="4:12" x14ac:dyDescent="0.35">
      <c r="D422" s="26">
        <f ca="1">IF('Raw Data'!B21 &lt;&gt; "", IF('Raw Data'!C21 =  "", NOW(), 'Raw Data'!C21), "")</f>
        <v>45410</v>
      </c>
      <c r="I422" s="67">
        <f>SUMIF(Table2[Customer_ID], J422, Table2[Total_Amount])</f>
        <v>4309.8099999999995</v>
      </c>
      <c r="J422" s="67" t="str">
        <v>CUST046</v>
      </c>
    </row>
    <row r="423" spans="4:12" x14ac:dyDescent="0.35">
      <c r="D423" s="26">
        <f ca="1">IF('Raw Data'!B22 &lt;&gt; "", IF('Raw Data'!C22 =  "", NOW(), 'Raw Data'!C22), "")</f>
        <v>45410</v>
      </c>
      <c r="I423" s="67">
        <f>SUMIF(Table2[Customer_ID], J423, Table2[Total_Amount])</f>
        <v>6169.7400000000007</v>
      </c>
      <c r="J423" s="67" t="str">
        <v>CUST003</v>
      </c>
    </row>
    <row r="424" spans="4:12" x14ac:dyDescent="0.35">
      <c r="D424" s="26">
        <f ca="1">IF('Raw Data'!B23 &lt;&gt; "", IF('Raw Data'!C23 =  "", NOW(), 'Raw Data'!C23), "")</f>
        <v>45410</v>
      </c>
      <c r="I424" s="67">
        <f>SUMIF(Table2[Customer_ID], J424, Table2[Total_Amount])</f>
        <v>8269.7900000000009</v>
      </c>
      <c r="J424" s="67" t="str">
        <v>CUST024</v>
      </c>
    </row>
    <row r="425" spans="4:12" x14ac:dyDescent="0.35">
      <c r="D425" s="26">
        <f ca="1">IF('Raw Data'!B24 &lt;&gt; "", IF('Raw Data'!C24 =  "", NOW(), 'Raw Data'!C24), "")</f>
        <v>45410</v>
      </c>
      <c r="I425" s="67">
        <f>SUMIF(Table2[Customer_ID], J425, Table2[Total_Amount])</f>
        <v>5089.7300000000005</v>
      </c>
      <c r="J425" s="67" t="str">
        <v>CUST017</v>
      </c>
    </row>
    <row r="426" spans="4:12" x14ac:dyDescent="0.35">
      <c r="D426" s="26">
        <f ca="1">IF('Raw Data'!B25 &lt;&gt; "", IF('Raw Data'!C25 =  "", NOW(), 'Raw Data'!C25), "")</f>
        <v>45412</v>
      </c>
      <c r="I426" s="67">
        <f>SUMIF(Table2[Customer_ID], J426, Table2[Total_Amount])</f>
        <v>3509.8999999999996</v>
      </c>
      <c r="J426" s="67" t="str">
        <v>CUST009</v>
      </c>
    </row>
    <row r="427" spans="4:12" x14ac:dyDescent="0.35">
      <c r="D427" s="26">
        <f ca="1">IF('Raw Data'!B26 &lt;&gt; "", IF('Raw Data'!C26 =  "", NOW(), 'Raw Data'!C26), "")</f>
        <v>45413</v>
      </c>
      <c r="I427" s="67">
        <f>SUMIF(Table2[Customer_ID], J427, Table2[Total_Amount])</f>
        <v>8009.7699999999995</v>
      </c>
      <c r="J427" s="67" t="str">
        <v>CUST026</v>
      </c>
    </row>
    <row r="428" spans="4:12" x14ac:dyDescent="0.35">
      <c r="D428" s="26">
        <f ca="1">IF('Raw Data'!B27 &lt;&gt; "", IF('Raw Data'!C27 =  "", NOW(), 'Raw Data'!C27), "")</f>
        <v>45415</v>
      </c>
      <c r="I428" s="67">
        <f>SUMIF(Table2[Customer_ID], J428, Table2[Total_Amount])</f>
        <v>1979.89</v>
      </c>
      <c r="J428" s="67" t="str">
        <v>CUST022</v>
      </c>
    </row>
    <row r="429" spans="4:12" x14ac:dyDescent="0.35">
      <c r="D429" s="26">
        <f ca="1">IF('Raw Data'!B28 &lt;&gt; "", IF('Raw Data'!C28 =  "", NOW(), 'Raw Data'!C28), "")</f>
        <v>45416</v>
      </c>
      <c r="I429" s="67">
        <f>SUMIF(Table2[Customer_ID], J429, Table2[Total_Amount])</f>
        <v>5949.85</v>
      </c>
      <c r="J429" s="67" t="str">
        <v>CUST041</v>
      </c>
    </row>
    <row r="430" spans="4:12" x14ac:dyDescent="0.35">
      <c r="D430" s="26">
        <f ca="1">IF('Raw Data'!B29 &lt;&gt; "", IF('Raw Data'!C29 =  "", NOW(), 'Raw Data'!C29), "")</f>
        <v>45422</v>
      </c>
      <c r="I430" s="67">
        <f>SUMIF(Table2[Customer_ID], J430, Table2[Total_Amount])</f>
        <v>479.91999999999996</v>
      </c>
      <c r="J430" s="67" t="str">
        <v>CUST043</v>
      </c>
    </row>
    <row r="431" spans="4:12" x14ac:dyDescent="0.35">
      <c r="D431" s="26">
        <f ca="1">IF('Raw Data'!B30 &lt;&gt; "", IF('Raw Data'!C30 =  "", NOW(), 'Raw Data'!C30), "")</f>
        <v>45424</v>
      </c>
      <c r="I431" s="67">
        <f>SUMIF(Table2[Customer_ID], J431, Table2[Total_Amount])</f>
        <v>4199.9399999999996</v>
      </c>
      <c r="J431" s="67" t="str">
        <v>CUST038</v>
      </c>
    </row>
    <row r="432" spans="4:12" x14ac:dyDescent="0.35">
      <c r="D432" s="26">
        <f ca="1">IF('Raw Data'!B31 &lt;&gt; "", IF('Raw Data'!C31 =  "", NOW(), 'Raw Data'!C31), "")</f>
        <v>45424</v>
      </c>
      <c r="I432" s="67">
        <f>SUMIF(Table2[Customer_ID], J432, Table2[Total_Amount])</f>
        <v>3779.93</v>
      </c>
      <c r="J432" s="67" t="str">
        <v>CUST027</v>
      </c>
    </row>
    <row r="433" spans="4:10" x14ac:dyDescent="0.35">
      <c r="D433" s="26">
        <f ca="1">IF('Raw Data'!B32 &lt;&gt; "", IF('Raw Data'!C32 =  "", NOW(), 'Raw Data'!C32), "")</f>
        <v>45424</v>
      </c>
      <c r="I433" s="67">
        <f>SUMIF(Table2[Customer_ID], J433, Table2[Total_Amount])</f>
        <v>15659.65</v>
      </c>
      <c r="J433" s="67" t="str">
        <v>CUST025</v>
      </c>
    </row>
    <row r="434" spans="4:10" x14ac:dyDescent="0.35">
      <c r="D434" s="26">
        <f ca="1">IF('Raw Data'!B33 &lt;&gt; "", IF('Raw Data'!C33 =  "", NOW(), 'Raw Data'!C33), "")</f>
        <v>45425</v>
      </c>
      <c r="I434" s="67">
        <f>SUMIF(Table2[Customer_ID], J434, Table2[Total_Amount])</f>
        <v>1909.93</v>
      </c>
      <c r="J434" s="67" t="str">
        <v>CUST010</v>
      </c>
    </row>
    <row r="435" spans="4:10" x14ac:dyDescent="0.35">
      <c r="D435" s="26">
        <f ca="1">IF('Raw Data'!B34 &lt;&gt; "", IF('Raw Data'!C34 =  "", NOW(), 'Raw Data'!C34), "")</f>
        <v>45427</v>
      </c>
      <c r="I435" s="67">
        <f>SUMIF(Table2[Customer_ID], J435, Table2[Total_Amount])</f>
        <v>4789.7900000000009</v>
      </c>
      <c r="J435" s="67" t="str">
        <v>CUST048</v>
      </c>
    </row>
    <row r="436" spans="4:10" x14ac:dyDescent="0.35">
      <c r="D436" s="26">
        <f ca="1">IF('Raw Data'!B35 &lt;&gt; "", IF('Raw Data'!C35 =  "", NOW(), 'Raw Data'!C35), "")</f>
        <v>45427</v>
      </c>
      <c r="I436" s="67">
        <f>SUMIF(Table2[Customer_ID], J436, Table2[Total_Amount])</f>
        <v>10649.8</v>
      </c>
      <c r="J436" s="67" t="str">
        <v>CUST018</v>
      </c>
    </row>
    <row r="437" spans="4:10" x14ac:dyDescent="0.35">
      <c r="D437" s="26">
        <f ca="1">IF('Raw Data'!B36 &lt;&gt; "", IF('Raw Data'!C36 =  "", NOW(), 'Raw Data'!C36), "")</f>
        <v>45428</v>
      </c>
      <c r="I437" s="67">
        <f>SUMIF(Table2[Customer_ID], J437, Table2[Total_Amount])</f>
        <v>9799.73</v>
      </c>
      <c r="J437" s="67" t="str">
        <v>CUST012</v>
      </c>
    </row>
    <row r="438" spans="4:10" x14ac:dyDescent="0.35">
      <c r="D438" s="26">
        <f ca="1">IF('Raw Data'!B37 &lt;&gt; "", IF('Raw Data'!C37 =  "", NOW(), 'Raw Data'!C37), "")</f>
        <v>45430</v>
      </c>
      <c r="I438" s="67">
        <f>SUMIF(Table2[Customer_ID], J438, Table2[Total_Amount])</f>
        <v>3769.8300000000004</v>
      </c>
      <c r="J438" s="67" t="str">
        <v>CUST044</v>
      </c>
    </row>
    <row r="439" spans="4:10" x14ac:dyDescent="0.35">
      <c r="D439" s="26">
        <f ca="1">IF('Raw Data'!B38 &lt;&gt; "", IF('Raw Data'!C38 =  "", NOW(), 'Raw Data'!C38), "")</f>
        <v>45432</v>
      </c>
      <c r="I439" s="67">
        <f>SUMIF(Table2[Customer_ID], J439, Table2[Total_Amount])</f>
        <v>4189.7700000000004</v>
      </c>
      <c r="J439" s="67" t="str">
        <v>CUST036</v>
      </c>
    </row>
    <row r="440" spans="4:10" x14ac:dyDescent="0.35">
      <c r="D440" s="26">
        <f ca="1">IF('Raw Data'!B39 &lt;&gt; "", IF('Raw Data'!C39 =  "", NOW(), 'Raw Data'!C39), "")</f>
        <v>45434</v>
      </c>
      <c r="I440" s="67">
        <f>SUMIF(Table2[Customer_ID], J440, Table2[Total_Amount])</f>
        <v>1289.9000000000001</v>
      </c>
      <c r="J440" s="67" t="str">
        <v>CUST014</v>
      </c>
    </row>
    <row r="441" spans="4:10" x14ac:dyDescent="0.35">
      <c r="D441" s="26">
        <f ca="1">IF('Raw Data'!B40 &lt;&gt; "", IF('Raw Data'!C40 =  "", NOW(), 'Raw Data'!C40), "")</f>
        <v>45435</v>
      </c>
      <c r="I441" s="67">
        <f>SUMIF(Table2[Customer_ID], J441, Table2[Total_Amount])</f>
        <v>6459.79</v>
      </c>
      <c r="J441" s="67" t="str">
        <v>CUST030</v>
      </c>
    </row>
    <row r="442" spans="4:10" x14ac:dyDescent="0.35">
      <c r="D442" s="26">
        <f ca="1">IF('Raw Data'!B41 &lt;&gt; "", IF('Raw Data'!C41 =  "", NOW(), 'Raw Data'!C41), "")</f>
        <v>45438</v>
      </c>
      <c r="I442" s="67">
        <f>SUMIF(Table2[Customer_ID], J442, Table2[Total_Amount])</f>
        <v>11919.769999999999</v>
      </c>
      <c r="J442" s="67" t="str">
        <v>CUST029</v>
      </c>
    </row>
    <row r="443" spans="4:10" x14ac:dyDescent="0.35">
      <c r="D443" s="26">
        <f ca="1">IF('Raw Data'!B42 &lt;&gt; "", IF('Raw Data'!C42 =  "", NOW(), 'Raw Data'!C42), "")</f>
        <v>45440</v>
      </c>
      <c r="I443" s="67">
        <f>SUMIF(Table2[Customer_ID], J443, Table2[Total_Amount])</f>
        <v>2039.8000000000002</v>
      </c>
      <c r="J443" s="67" t="str">
        <v>CUST006</v>
      </c>
    </row>
    <row r="444" spans="4:10" x14ac:dyDescent="0.35">
      <c r="D444" s="26">
        <f ca="1">IF('Raw Data'!B43 &lt;&gt; "", IF('Raw Data'!C43 =  "", NOW(), 'Raw Data'!C43), "")</f>
        <v>45441</v>
      </c>
      <c r="I444" s="67">
        <f>SUMIF(Table2[Customer_ID], J444, Table2[Total_Amount])</f>
        <v>1229.8800000000001</v>
      </c>
      <c r="J444" s="67" t="str">
        <v>CUST002</v>
      </c>
    </row>
    <row r="445" spans="4:10" x14ac:dyDescent="0.35">
      <c r="D445" s="26">
        <f ca="1">IF('Raw Data'!B44 &lt;&gt; "", IF('Raw Data'!C44 =  "", NOW(), 'Raw Data'!C44), "")</f>
        <v>45443</v>
      </c>
      <c r="I445" s="67">
        <f>SUMIF(Table2[Customer_ID], J445, Table2[Total_Amount])</f>
        <v>2649.83</v>
      </c>
      <c r="J445" s="67" t="str">
        <v>CUST031</v>
      </c>
    </row>
    <row r="446" spans="4:10" x14ac:dyDescent="0.35">
      <c r="D446" s="26">
        <f ca="1">IF('Raw Data'!B45 &lt;&gt; "", IF('Raw Data'!C45 =  "", NOW(), 'Raw Data'!C45), "")</f>
        <v>45444</v>
      </c>
      <c r="I446" s="67">
        <f>SUMIF(Table2[Customer_ID], J446, Table2[Total_Amount])</f>
        <v>4739.8500000000004</v>
      </c>
      <c r="J446" s="67" t="str">
        <v>CUST008</v>
      </c>
    </row>
    <row r="447" spans="4:10" x14ac:dyDescent="0.35">
      <c r="D447" s="26">
        <f ca="1">IF('Raw Data'!B46 &lt;&gt; "", IF('Raw Data'!C46 =  "", NOW(), 'Raw Data'!C46), "")</f>
        <v>45444</v>
      </c>
      <c r="I447" s="67">
        <f>SUMIF(Table2[Customer_ID], J447, Table2[Total_Amount])</f>
        <v>5519.8899999999994</v>
      </c>
      <c r="J447" s="67" t="str">
        <v>CUST035</v>
      </c>
    </row>
    <row r="448" spans="4:10" x14ac:dyDescent="0.35">
      <c r="D448" s="26">
        <f ca="1">IF('Raw Data'!B47 &lt;&gt; "", IF('Raw Data'!C47 =  "", NOW(), 'Raw Data'!C47), "")</f>
        <v>45446</v>
      </c>
      <c r="I448" s="67">
        <f>SUMIF(Table2[Customer_ID], J448, Table2[Total_Amount])</f>
        <v>7309.7999999999993</v>
      </c>
      <c r="J448" s="67" t="str">
        <v>CUST019</v>
      </c>
    </row>
    <row r="449" spans="4:10" x14ac:dyDescent="0.35">
      <c r="D449" s="26">
        <f ca="1">IF('Raw Data'!B48 &lt;&gt; "", IF('Raw Data'!C48 =  "", NOW(), 'Raw Data'!C48), "")</f>
        <v>45449</v>
      </c>
      <c r="I449" s="67">
        <f>SUMIF(Table2[Customer_ID], J449, Table2[Total_Amount])</f>
        <v>5619.869999999999</v>
      </c>
      <c r="J449" s="67" t="str">
        <v>CUST040</v>
      </c>
    </row>
    <row r="450" spans="4:10" x14ac:dyDescent="0.35">
      <c r="D450" s="26">
        <f ca="1">IF('Raw Data'!B49 &lt;&gt; "", IF('Raw Data'!C49 =  "", NOW(), 'Raw Data'!C49), "")</f>
        <v>45449</v>
      </c>
      <c r="I450" s="67">
        <f>SUMIF(Table2[Customer_ID], J450, Table2[Total_Amount])</f>
        <v>5499.8099999999995</v>
      </c>
      <c r="J450" s="67" t="str">
        <v>CUST004</v>
      </c>
    </row>
    <row r="451" spans="4:10" x14ac:dyDescent="0.35">
      <c r="D451" s="26">
        <f ca="1">IF('Raw Data'!B50 &lt;&gt; "", IF('Raw Data'!C50 =  "", NOW(), 'Raw Data'!C50), "")</f>
        <v>45450</v>
      </c>
      <c r="I451" s="67">
        <f>SUMIF(Table2[Customer_ID], J451, Table2[Total_Amount])</f>
        <v>5649.84</v>
      </c>
      <c r="J451" s="67" t="str">
        <v>CUST028</v>
      </c>
    </row>
    <row r="452" spans="4:10" x14ac:dyDescent="0.35">
      <c r="D452" s="26">
        <f ca="1">IF('Raw Data'!B51 &lt;&gt; "", IF('Raw Data'!C51 =  "", NOW(), 'Raw Data'!C51), "")</f>
        <v>45452</v>
      </c>
      <c r="I452" s="67">
        <f>SUMIF(Table2[Customer_ID], J452, Table2[Total_Amount])</f>
        <v>239.96</v>
      </c>
      <c r="J452" s="67" t="str">
        <v>CUST050</v>
      </c>
    </row>
    <row r="453" spans="4:10" x14ac:dyDescent="0.35">
      <c r="D453" s="26">
        <f ca="1">IF('Raw Data'!B52 &lt;&gt; "", IF('Raw Data'!C52 =  "", NOW(), 'Raw Data'!C52), "")</f>
        <v>45456</v>
      </c>
      <c r="I453" s="67">
        <f>SUMIF(Table2[Customer_ID], J453, Table2[Total_Amount])</f>
        <v>3669.8500000000004</v>
      </c>
      <c r="J453" s="67" t="str">
        <v>CUST049</v>
      </c>
    </row>
    <row r="454" spans="4:10" x14ac:dyDescent="0.35">
      <c r="D454" s="26">
        <f ca="1">IF('Raw Data'!B53 &lt;&gt; "", IF('Raw Data'!C53 =  "", NOW(), 'Raw Data'!C53), "")</f>
        <v>45459</v>
      </c>
      <c r="I454" s="67">
        <f>SUMIF(Table2[Customer_ID], J454, Table2[Total_Amount])</f>
        <v>1809.84</v>
      </c>
      <c r="J454" s="67" t="str">
        <v>CUST007</v>
      </c>
    </row>
    <row r="455" spans="4:10" x14ac:dyDescent="0.35">
      <c r="D455" s="26">
        <f ca="1">IF('Raw Data'!B54 &lt;&gt; "", IF('Raw Data'!C54 =  "", NOW(), 'Raw Data'!C54), "")</f>
        <v>45459</v>
      </c>
      <c r="I455" s="67">
        <f>SUMIF(Table2[Customer_ID], J455, Table2[Total_Amount])</f>
        <v>2099.88</v>
      </c>
      <c r="J455" s="67" t="str">
        <v>CUST020</v>
      </c>
    </row>
    <row r="456" spans="4:10" x14ac:dyDescent="0.35">
      <c r="D456" s="26">
        <f ca="1">IF('Raw Data'!B55 &lt;&gt; "", IF('Raw Data'!C55 =  "", NOW(), 'Raw Data'!C55), "")</f>
        <v>45459</v>
      </c>
      <c r="I456" s="67">
        <f>SUMIF(Table2[Customer_ID], J456, Table2[Total_Amount])</f>
        <v>1479.91</v>
      </c>
      <c r="J456" s="67" t="str">
        <v>CUST033</v>
      </c>
    </row>
    <row r="457" spans="4:10" x14ac:dyDescent="0.35">
      <c r="D457" s="26">
        <f ca="1">IF('Raw Data'!B56 &lt;&gt; "", IF('Raw Data'!C56 =  "", NOW(), 'Raw Data'!C56), "")</f>
        <v>45460</v>
      </c>
      <c r="I457" s="67">
        <f>SUMIF(Table2[Customer_ID], J457, Table2[Total_Amount])</f>
        <v>6379.87</v>
      </c>
      <c r="J457" s="67" t="str">
        <v>CUST047</v>
      </c>
    </row>
    <row r="458" spans="4:10" x14ac:dyDescent="0.35">
      <c r="D458" s="26">
        <f ca="1">IF('Raw Data'!B57 &lt;&gt; "", IF('Raw Data'!C57 =  "", NOW(), 'Raw Data'!C57), "")</f>
        <v>45460</v>
      </c>
      <c r="I458" s="67">
        <f>SUMIF(Table2[Customer_ID], J458, Table2[Total_Amount])</f>
        <v>3649.8599999999997</v>
      </c>
      <c r="J458" s="67" t="str">
        <v>CUST016</v>
      </c>
    </row>
    <row r="459" spans="4:10" x14ac:dyDescent="0.35">
      <c r="D459" s="26">
        <f ca="1">IF('Raw Data'!B58 &lt;&gt; "", IF('Raw Data'!C58 =  "", NOW(), 'Raw Data'!C58), "")</f>
        <v>45468</v>
      </c>
      <c r="I459" s="67">
        <f>SUMIF(Table2[Customer_ID], J459, Table2[Total_Amount])</f>
        <v>6989.7699999999986</v>
      </c>
      <c r="J459" s="67" t="str">
        <v>CUST039</v>
      </c>
    </row>
    <row r="460" spans="4:10" x14ac:dyDescent="0.35">
      <c r="D460" s="26">
        <f ca="1">IF('Raw Data'!B59 &lt;&gt; "", IF('Raw Data'!C59 =  "", NOW(), 'Raw Data'!C59), "")</f>
        <v>45469</v>
      </c>
      <c r="I460" s="67">
        <f>SUMIF(Table2[Customer_ID], J460, Table2[Total_Amount])</f>
        <v>1149.93</v>
      </c>
      <c r="J460" s="67" t="str">
        <v>CUST034</v>
      </c>
    </row>
    <row r="461" spans="4:10" x14ac:dyDescent="0.35">
      <c r="D461" s="26">
        <f ca="1">IF('Raw Data'!B60 &lt;&gt; "", IF('Raw Data'!C60 =  "", NOW(), 'Raw Data'!C60), "")</f>
        <v>45469</v>
      </c>
      <c r="I461" s="67">
        <f>SUMIF(Table2[Customer_ID], J461, Table2[Total_Amount])</f>
        <v>6349.83</v>
      </c>
      <c r="J461" s="67" t="str">
        <v>CUST032</v>
      </c>
    </row>
    <row r="462" spans="4:10" x14ac:dyDescent="0.35">
      <c r="D462" s="26">
        <f ca="1">IF('Raw Data'!B61 &lt;&gt; "", IF('Raw Data'!C61 =  "", NOW(), 'Raw Data'!C61), "")</f>
        <v>45471</v>
      </c>
      <c r="I462" s="67">
        <f>SUMIF(Table2[Customer_ID], J462, Table2[Total_Amount])</f>
        <v>1749.92</v>
      </c>
      <c r="J462" s="67" t="str">
        <v>CUST042</v>
      </c>
    </row>
    <row r="463" spans="4:10" x14ac:dyDescent="0.35">
      <c r="D463" s="26">
        <f ca="1">IF('Raw Data'!B62 &lt;&gt; "", IF('Raw Data'!C62 =  "", NOW(), 'Raw Data'!C62), "")</f>
        <v>45471</v>
      </c>
      <c r="I463" s="67">
        <f>SUMIF(Table2[Customer_ID], J463, Table2[Total_Amount])</f>
        <v>4749.91</v>
      </c>
      <c r="J463" s="67" t="str">
        <v>CUST011</v>
      </c>
    </row>
    <row r="464" spans="4:10" x14ac:dyDescent="0.35">
      <c r="D464" s="26">
        <f ca="1">IF('Raw Data'!B63 &lt;&gt; "", IF('Raw Data'!C63 =  "", NOW(), 'Raw Data'!C63), "")</f>
        <v>45472</v>
      </c>
      <c r="I464" s="67">
        <f>SUMIF(Table2[Customer_ID], J464, Table2[Total_Amount])</f>
        <v>739.93000000000006</v>
      </c>
      <c r="J464" s="67" t="str">
        <v>CUST015</v>
      </c>
    </row>
    <row r="465" spans="4:13" x14ac:dyDescent="0.35">
      <c r="D465" s="26">
        <f ca="1">IF('Raw Data'!B64 &lt;&gt; "", IF('Raw Data'!C64 =  "", NOW(), 'Raw Data'!C64), "")</f>
        <v>45474</v>
      </c>
      <c r="I465" s="67">
        <f>SUMIF(Table2[Customer_ID], J465, Table2[Total_Amount])</f>
        <v>4829.8899999999994</v>
      </c>
      <c r="J465" s="67" t="str">
        <v>CUST045</v>
      </c>
    </row>
    <row r="466" spans="4:13" x14ac:dyDescent="0.35">
      <c r="D466" s="26">
        <f ca="1">IF('Raw Data'!B65 &lt;&gt; "", IF('Raw Data'!C65 =  "", NOW(), 'Raw Data'!C65), "")</f>
        <v>45475</v>
      </c>
      <c r="I466" s="67">
        <f>SUMIF(Table2[Customer_ID], J466, Table2[Total_Amount])</f>
        <v>179.97</v>
      </c>
      <c r="J466" s="67" t="str">
        <v>CUST005</v>
      </c>
    </row>
    <row r="467" spans="4:13" x14ac:dyDescent="0.35">
      <c r="D467" s="26">
        <f ca="1">IF('Raw Data'!B66 &lt;&gt; "", IF('Raw Data'!C66 =  "", NOW(), 'Raw Data'!C66), "")</f>
        <v>45476</v>
      </c>
      <c r="I467" s="67">
        <f>SUMIF(Table2[Customer_ID], J467, Table2[Total_Amount])</f>
        <v>1559.94</v>
      </c>
      <c r="J467" s="67" t="str">
        <v>CUST037</v>
      </c>
    </row>
    <row r="468" spans="4:13" x14ac:dyDescent="0.35">
      <c r="D468" s="26">
        <f ca="1">IF('Raw Data'!B67 &lt;&gt; "", IF('Raw Data'!C67 =  "", NOW(), 'Raw Data'!C67), "")</f>
        <v>45476</v>
      </c>
      <c r="I468" s="67">
        <f>SUMIF(Table2[Customer_ID], J468, Table2[Total_Amount])</f>
        <v>599.96</v>
      </c>
      <c r="J468" s="67" t="str">
        <v>CUST001</v>
      </c>
    </row>
    <row r="469" spans="4:13" x14ac:dyDescent="0.35">
      <c r="D469" s="26">
        <f ca="1">IF('Raw Data'!B68 &lt;&gt; "", IF('Raw Data'!C68 =  "", NOW(), 'Raw Data'!C68), "")</f>
        <v>45481</v>
      </c>
    </row>
    <row r="470" spans="4:13" x14ac:dyDescent="0.35">
      <c r="D470" s="26">
        <f ca="1">IF('Raw Data'!B69 &lt;&gt; "", IF('Raw Data'!C69 =  "", NOW(), 'Raw Data'!C69), "")</f>
        <v>45481</v>
      </c>
    </row>
    <row r="471" spans="4:13" x14ac:dyDescent="0.35">
      <c r="D471" s="26">
        <f ca="1">IF('Raw Data'!B70 &lt;&gt; "", IF('Raw Data'!C70 =  "", NOW(), 'Raw Data'!C70), "")</f>
        <v>45481</v>
      </c>
    </row>
    <row r="472" spans="4:13" x14ac:dyDescent="0.35">
      <c r="D472" s="26">
        <f ca="1">IF('Raw Data'!B71 &lt;&gt; "", IF('Raw Data'!C71 =  "", NOW(), 'Raw Data'!C71), "")</f>
        <v>45482</v>
      </c>
    </row>
    <row r="473" spans="4:13" x14ac:dyDescent="0.35">
      <c r="D473" s="26">
        <f ca="1">IF('Raw Data'!B72 &lt;&gt; "", IF('Raw Data'!C72 =  "", NOW(), 'Raw Data'!C72), "")</f>
        <v>45484</v>
      </c>
      <c r="H473" s="95" t="s">
        <v>489</v>
      </c>
      <c r="I473" s="95"/>
      <c r="J473" s="95"/>
      <c r="K473" s="95"/>
      <c r="L473" s="95"/>
      <c r="M473" s="95"/>
    </row>
    <row r="474" spans="4:13" x14ac:dyDescent="0.35">
      <c r="D474" s="26">
        <f ca="1">IF('Raw Data'!B73 &lt;&gt; "", IF('Raw Data'!C73 =  "", NOW(), 'Raw Data'!C73), "")</f>
        <v>45484</v>
      </c>
      <c r="H474" s="95"/>
      <c r="I474" s="95"/>
      <c r="J474" s="95"/>
      <c r="K474" s="95"/>
      <c r="L474" s="95"/>
      <c r="M474" s="95"/>
    </row>
    <row r="475" spans="4:13" x14ac:dyDescent="0.35">
      <c r="D475" s="26">
        <f ca="1">IF('Raw Data'!B74 &lt;&gt; "", IF('Raw Data'!C74 =  "", NOW(), 'Raw Data'!C74), "")</f>
        <v>45487</v>
      </c>
      <c r="H475" s="93"/>
      <c r="I475" s="93"/>
      <c r="J475" s="93"/>
      <c r="K475" s="93"/>
      <c r="L475" s="93"/>
      <c r="M475" s="93"/>
    </row>
    <row r="476" spans="4:13" ht="15.5" x14ac:dyDescent="0.45">
      <c r="D476" s="26">
        <f ca="1">IF('Raw Data'!B75 &lt;&gt; "", IF('Raw Data'!C75 =  "", NOW(), 'Raw Data'!C75), "")</f>
        <v>45490</v>
      </c>
      <c r="H476" s="9"/>
      <c r="I476" s="96" t="s">
        <v>488</v>
      </c>
      <c r="J476" s="96"/>
      <c r="K476" s="96"/>
      <c r="L476" s="96"/>
      <c r="M476" s="9"/>
    </row>
    <row r="477" spans="4:13" x14ac:dyDescent="0.35">
      <c r="D477" s="26">
        <f ca="1">IF('Raw Data'!B76 &lt;&gt; "", IF('Raw Data'!C76 =  "", NOW(), 'Raw Data'!C76), "")</f>
        <v>45490</v>
      </c>
      <c r="H477" s="93"/>
      <c r="I477" s="93"/>
      <c r="J477" s="93"/>
      <c r="K477" s="93"/>
      <c r="L477" s="93"/>
      <c r="M477" s="93"/>
    </row>
    <row r="478" spans="4:13" ht="17" x14ac:dyDescent="0.35">
      <c r="D478" s="26">
        <f ca="1">IF('Raw Data'!B77 &lt;&gt; "", IF('Raw Data'!C77 =  "", NOW(), 'Raw Data'!C77), "")</f>
        <v>45491</v>
      </c>
      <c r="I478" s="74"/>
      <c r="J478" s="75" t="str">
        <f>_xlfn.XLOOKUP(MAX(Table2[Quantity]),Table2[Quantity], Table2[Product_Name] )</f>
        <v>Bookshelf</v>
      </c>
      <c r="K478" s="75">
        <f>_xlfn.MODE.SNGL('Raw Data'!I5:I254)</f>
        <v>3</v>
      </c>
      <c r="L478" s="74"/>
    </row>
    <row r="479" spans="4:13" x14ac:dyDescent="0.35">
      <c r="D479" s="26">
        <f ca="1">IF('Raw Data'!B78 &lt;&gt; "", IF('Raw Data'!C78 =  "", NOW(), 'Raw Data'!C78), "")</f>
        <v>45496</v>
      </c>
    </row>
    <row r="480" spans="4:13" x14ac:dyDescent="0.35">
      <c r="D480" s="26">
        <f ca="1">IF('Raw Data'!B79 &lt;&gt; "", IF('Raw Data'!C79 =  "", NOW(), 'Raw Data'!C79), "")</f>
        <v>45497</v>
      </c>
    </row>
    <row r="481" spans="4:10" x14ac:dyDescent="0.35">
      <c r="D481" s="26">
        <f ca="1">IF('Raw Data'!B80 &lt;&gt; "", IF('Raw Data'!C80 =  "", NOW(), 'Raw Data'!C80), "")</f>
        <v>45498</v>
      </c>
    </row>
    <row r="482" spans="4:10" x14ac:dyDescent="0.35">
      <c r="D482" s="26">
        <f ca="1">IF('Raw Data'!B81 &lt;&gt; "", IF('Raw Data'!C81 =  "", NOW(), 'Raw Data'!C81), "")</f>
        <v>45498</v>
      </c>
    </row>
    <row r="483" spans="4:10" x14ac:dyDescent="0.35">
      <c r="D483" s="26">
        <f ca="1">IF('Raw Data'!B82 &lt;&gt; "", IF('Raw Data'!C82 =  "", NOW(), 'Raw Data'!C82), "")</f>
        <v>45500</v>
      </c>
    </row>
    <row r="484" spans="4:10" x14ac:dyDescent="0.35">
      <c r="D484" s="26">
        <f ca="1">IF('Raw Data'!B83 &lt;&gt; "", IF('Raw Data'!C83 =  "", NOW(), 'Raw Data'!C83), "")</f>
        <v>45500</v>
      </c>
      <c r="H484" s="94" t="s">
        <v>490</v>
      </c>
      <c r="I484" s="94"/>
      <c r="J484" s="94"/>
    </row>
    <row r="485" spans="4:10" x14ac:dyDescent="0.35">
      <c r="D485" s="26">
        <f ca="1">IF('Raw Data'!B84 &lt;&gt; "", IF('Raw Data'!C84 =  "", NOW(), 'Raw Data'!C84), "")</f>
        <v>45501</v>
      </c>
      <c r="H485" s="94"/>
      <c r="I485" s="94"/>
      <c r="J485" s="94"/>
    </row>
    <row r="486" spans="4:10" x14ac:dyDescent="0.35">
      <c r="D486" s="26">
        <f ca="1">IF('Raw Data'!B85 &lt;&gt; "", IF('Raw Data'!C85 =  "", NOW(), 'Raw Data'!C85), "")</f>
        <v>45501</v>
      </c>
      <c r="H486" s="91"/>
      <c r="I486" s="91"/>
      <c r="J486" s="91"/>
    </row>
    <row r="487" spans="4:10" ht="17" x14ac:dyDescent="0.35">
      <c r="D487" s="26">
        <f ca="1">IF('Raw Data'!B86 &lt;&gt; "", IF('Raw Data'!C86 =  "", NOW(), 'Raw Data'!C86), "")</f>
        <v>45503</v>
      </c>
      <c r="H487" s="92" t="s">
        <v>491</v>
      </c>
      <c r="I487" s="92"/>
      <c r="J487" s="92"/>
    </row>
    <row r="488" spans="4:10" x14ac:dyDescent="0.35">
      <c r="D488" s="26">
        <f ca="1">IF('Raw Data'!B87 &lt;&gt; "", IF('Raw Data'!C87 =  "", NOW(), 'Raw Data'!C87), "")</f>
        <v>45504</v>
      </c>
      <c r="H488" s="91"/>
      <c r="I488" s="91"/>
      <c r="J488" s="91"/>
    </row>
    <row r="489" spans="4:10" x14ac:dyDescent="0.35">
      <c r="D489" s="26">
        <f ca="1">IF('Raw Data'!B88 &lt;&gt; "", IF('Raw Data'!C88 =  "", NOW(), 'Raw Data'!C88), "")</f>
        <v>45509</v>
      </c>
      <c r="I489" s="30" t="str">
        <f>LEFT('Raw Data'!E5, 1)  &amp; LEFT(RIGHT('Raw Data'!E5, LEN('Raw Data'!E5) - FIND(" ", 'Raw Data'!E5)), 1)</f>
        <v>PB</v>
      </c>
    </row>
    <row r="490" spans="4:10" x14ac:dyDescent="0.35">
      <c r="D490" s="26">
        <f ca="1">IF('Raw Data'!B89 &lt;&gt; "", IF('Raw Data'!C89 =  "", NOW(), 'Raw Data'!C89), "")</f>
        <v>45510</v>
      </c>
      <c r="I490" s="30" t="str">
        <f>LEFT('Raw Data'!E6, 1)  &amp; LEFT(RIGHT('Raw Data'!E6, LEN('Raw Data'!E6) - FIND(" ", 'Raw Data'!E6)), 1)</f>
        <v>JJ</v>
      </c>
    </row>
    <row r="491" spans="4:10" x14ac:dyDescent="0.35">
      <c r="D491" s="26">
        <f ca="1">IF('Raw Data'!B90 &lt;&gt; "", IF('Raw Data'!C90 =  "", NOW(), 'Raw Data'!C90), "")</f>
        <v>45513</v>
      </c>
      <c r="I491" s="30" t="str">
        <f>LEFT('Raw Data'!E7, 1)  &amp; LEFT(RIGHT('Raw Data'!E7, LEN('Raw Data'!E7) - FIND(" ", 'Raw Data'!E7)), 1)</f>
        <v>KS</v>
      </c>
    </row>
    <row r="492" spans="4:10" x14ac:dyDescent="0.35">
      <c r="D492" s="26">
        <f ca="1">IF('Raw Data'!B91 &lt;&gt; "", IF('Raw Data'!C91 =  "", NOW(), 'Raw Data'!C91), "")</f>
        <v>45515</v>
      </c>
      <c r="I492" s="30" t="str">
        <f>LEFT('Raw Data'!E8, 1)  &amp; LEFT(RIGHT('Raw Data'!E8, LEN('Raw Data'!E8) - FIND(" ", 'Raw Data'!E8)), 1)</f>
        <v>KB</v>
      </c>
    </row>
    <row r="493" spans="4:10" x14ac:dyDescent="0.35">
      <c r="D493" s="26">
        <f ca="1">IF('Raw Data'!B92 &lt;&gt; "", IF('Raw Data'!C92 =  "", NOW(), 'Raw Data'!C92), "")</f>
        <v>45517</v>
      </c>
      <c r="I493" s="30" t="str">
        <f>LEFT('Raw Data'!E9, 1)  &amp; LEFT(RIGHT('Raw Data'!E9, LEN('Raw Data'!E9) - FIND(" ", 'Raw Data'!E9)), 1)</f>
        <v>MB</v>
      </c>
    </row>
    <row r="494" spans="4:10" x14ac:dyDescent="0.35">
      <c r="D494" s="26">
        <f ca="1">IF('Raw Data'!B93 &lt;&gt; "", IF('Raw Data'!C93 =  "", NOW(), 'Raw Data'!C93), "")</f>
        <v>45517</v>
      </c>
      <c r="I494" s="30" t="str">
        <f>LEFT('Raw Data'!E10, 1)  &amp; LEFT(RIGHT('Raw Data'!E10, LEN('Raw Data'!E10) - FIND(" ", 'Raw Data'!E10)), 1)</f>
        <v>DN</v>
      </c>
    </row>
    <row r="495" spans="4:10" x14ac:dyDescent="0.35">
      <c r="D495" s="26">
        <f ca="1">IF('Raw Data'!B94 &lt;&gt; "", IF('Raw Data'!C94 =  "", NOW(), 'Raw Data'!C94), "")</f>
        <v>45517</v>
      </c>
      <c r="I495" s="30" t="str">
        <f>LEFT('Raw Data'!E11, 1)  &amp; LEFT(RIGHT('Raw Data'!E11, LEN('Raw Data'!E11) - FIND(" ", 'Raw Data'!E11)), 1)</f>
        <v>DN</v>
      </c>
    </row>
    <row r="496" spans="4:10" x14ac:dyDescent="0.35">
      <c r="D496" s="26">
        <f ca="1">IF('Raw Data'!B95 &lt;&gt; "", IF('Raw Data'!C95 =  "", NOW(), 'Raw Data'!C95), "")</f>
        <v>45517</v>
      </c>
      <c r="I496" s="30" t="str">
        <f>LEFT('Raw Data'!E12, 1)  &amp; LEFT(RIGHT('Raw Data'!E12, LEN('Raw Data'!E12) - FIND(" ", 'Raw Data'!E12)), 1)</f>
        <v>CA</v>
      </c>
    </row>
    <row r="497" spans="4:9" x14ac:dyDescent="0.35">
      <c r="D497" s="26">
        <f ca="1">IF('Raw Data'!B96 &lt;&gt; "", IF('Raw Data'!C96 =  "", NOW(), 'Raw Data'!C96), "")</f>
        <v>45519</v>
      </c>
      <c r="I497" s="30" t="str">
        <f>LEFT('Raw Data'!E13, 1)  &amp; LEFT(RIGHT('Raw Data'!E13, LEN('Raw Data'!E13) - FIND(" ", 'Raw Data'!E13)), 1)</f>
        <v>RT</v>
      </c>
    </row>
    <row r="498" spans="4:9" x14ac:dyDescent="0.35">
      <c r="D498" s="26">
        <f ca="1">IF('Raw Data'!B97 &lt;&gt; "", IF('Raw Data'!C97 =  "", NOW(), 'Raw Data'!C97), "")</f>
        <v>45522</v>
      </c>
      <c r="I498" s="30" t="str">
        <f>LEFT('Raw Data'!E14, 1)  &amp; LEFT(RIGHT('Raw Data'!E14, LEN('Raw Data'!E14) - FIND(" ", 'Raw Data'!E14)), 1)</f>
        <v>KH</v>
      </c>
    </row>
    <row r="499" spans="4:9" x14ac:dyDescent="0.35">
      <c r="D499" s="26">
        <f ca="1">IF('Raw Data'!B98 &lt;&gt; "", IF('Raw Data'!C98 =  "", NOW(), 'Raw Data'!C98), "")</f>
        <v>45523</v>
      </c>
      <c r="I499" s="30" t="str">
        <f>LEFT('Raw Data'!E15, 1)  &amp; LEFT(RIGHT('Raw Data'!E15, LEN('Raw Data'!E15) - FIND(" ", 'Raw Data'!E15)), 1)</f>
        <v>SG</v>
      </c>
    </row>
    <row r="500" spans="4:9" x14ac:dyDescent="0.35">
      <c r="D500" s="26">
        <f ca="1">IF('Raw Data'!B99 &lt;&gt; "", IF('Raw Data'!C99 =  "", NOW(), 'Raw Data'!C99), "")</f>
        <v>45523</v>
      </c>
      <c r="I500" s="30" t="str">
        <f>LEFT('Raw Data'!E16, 1)  &amp; LEFT(RIGHT('Raw Data'!E16, LEN('Raw Data'!E16) - FIND(" ", 'Raw Data'!E16)), 1)</f>
        <v>KB</v>
      </c>
    </row>
    <row r="501" spans="4:9" x14ac:dyDescent="0.35">
      <c r="D501" s="26">
        <f ca="1">IF('Raw Data'!B100 &lt;&gt; "", IF('Raw Data'!C100 =  "", NOW(), 'Raw Data'!C100), "")</f>
        <v>45526</v>
      </c>
      <c r="I501" s="30" t="str">
        <f>LEFT('Raw Data'!E17, 1)  &amp; LEFT(RIGHT('Raw Data'!E17, LEN('Raw Data'!E17) - FIND(" ", 'Raw Data'!E17)), 1)</f>
        <v>PR</v>
      </c>
    </row>
    <row r="502" spans="4:9" x14ac:dyDescent="0.35">
      <c r="D502" s="26">
        <f ca="1">IF('Raw Data'!B101 &lt;&gt; "", IF('Raw Data'!C101 =  "", NOW(), 'Raw Data'!C101), "")</f>
        <v>45528</v>
      </c>
      <c r="I502" s="30" t="str">
        <f>LEFT('Raw Data'!E18, 1)  &amp; LEFT(RIGHT('Raw Data'!E18, LEN('Raw Data'!E18) - FIND(" ", 'Raw Data'!E18)), 1)</f>
        <v>DG</v>
      </c>
    </row>
    <row r="503" spans="4:9" x14ac:dyDescent="0.35">
      <c r="D503" s="26">
        <f ca="1">IF('Raw Data'!B102 &lt;&gt; "", IF('Raw Data'!C102 =  "", NOW(), 'Raw Data'!C102), "")</f>
        <v>45528</v>
      </c>
      <c r="I503" s="30" t="str">
        <f>LEFT('Raw Data'!E19, 1)  &amp; LEFT(RIGHT('Raw Data'!E19, LEN('Raw Data'!E19) - FIND(" ", 'Raw Data'!E19)), 1)</f>
        <v>MR</v>
      </c>
    </row>
    <row r="504" spans="4:9" x14ac:dyDescent="0.35">
      <c r="D504" s="26">
        <f ca="1">IF('Raw Data'!B103 &lt;&gt; "", IF('Raw Data'!C103 =  "", NOW(), 'Raw Data'!C103), "")</f>
        <v>45532</v>
      </c>
      <c r="I504" s="30" t="str">
        <f>LEFT('Raw Data'!E20, 1)  &amp; LEFT(RIGHT('Raw Data'!E20, LEN('Raw Data'!E20) - FIND(" ", 'Raw Data'!E20)), 1)</f>
        <v>GA</v>
      </c>
    </row>
    <row r="505" spans="4:9" x14ac:dyDescent="0.35">
      <c r="D505" s="26">
        <f ca="1">IF('Raw Data'!B104 &lt;&gt; "", IF('Raw Data'!C104 =  "", NOW(), 'Raw Data'!C104), "")</f>
        <v>45532</v>
      </c>
      <c r="I505" s="30" t="str">
        <f>LEFT('Raw Data'!E21, 1)  &amp; LEFT(RIGHT('Raw Data'!E21, LEN('Raw Data'!E21) - FIND(" ", 'Raw Data'!E21)), 1)</f>
        <v>MC</v>
      </c>
    </row>
    <row r="506" spans="4:9" x14ac:dyDescent="0.35">
      <c r="D506" s="26">
        <f ca="1">IF('Raw Data'!B105 &lt;&gt; "", IF('Raw Data'!C105 =  "", NOW(), 'Raw Data'!C105), "")</f>
        <v>45534</v>
      </c>
      <c r="I506" s="30" t="str">
        <f>LEFT('Raw Data'!E22, 1)  &amp; LEFT(RIGHT('Raw Data'!E22, LEN('Raw Data'!E22) - FIND(" ", 'Raw Data'!E22)), 1)</f>
        <v>MG</v>
      </c>
    </row>
    <row r="507" spans="4:9" x14ac:dyDescent="0.35">
      <c r="D507" s="26">
        <f ca="1">IF('Raw Data'!B106 &lt;&gt; "", IF('Raw Data'!C106 =  "", NOW(), 'Raw Data'!C106), "")</f>
        <v>45537</v>
      </c>
      <c r="I507" s="30" t="str">
        <f>LEFT('Raw Data'!E23, 1)  &amp; LEFT(RIGHT('Raw Data'!E23, LEN('Raw Data'!E23) - FIND(" ", 'Raw Data'!E23)), 1)</f>
        <v>MC</v>
      </c>
    </row>
    <row r="508" spans="4:9" x14ac:dyDescent="0.35">
      <c r="D508" s="26">
        <f ca="1">IF('Raw Data'!B107 &lt;&gt; "", IF('Raw Data'!C107 =  "", NOW(), 'Raw Data'!C107), "")</f>
        <v>45537</v>
      </c>
      <c r="I508" s="30" t="str">
        <f>LEFT('Raw Data'!E24, 1)  &amp; LEFT(RIGHT('Raw Data'!E24, LEN('Raw Data'!E24) - FIND(" ", 'Raw Data'!E24)), 1)</f>
        <v>VS</v>
      </c>
    </row>
    <row r="509" spans="4:9" x14ac:dyDescent="0.35">
      <c r="D509" s="26">
        <f ca="1">IF('Raw Data'!B108 &lt;&gt; "", IF('Raw Data'!C108 =  "", NOW(), 'Raw Data'!C108), "")</f>
        <v>45538</v>
      </c>
      <c r="I509" s="30" t="str">
        <f>LEFT('Raw Data'!E25, 1)  &amp; LEFT(RIGHT('Raw Data'!E25, LEN('Raw Data'!E25) - FIND(" ", 'Raw Data'!E25)), 1)</f>
        <v>BY</v>
      </c>
    </row>
    <row r="510" spans="4:9" x14ac:dyDescent="0.35">
      <c r="D510" s="26">
        <f ca="1">IF('Raw Data'!B109 &lt;&gt; "", IF('Raw Data'!C109 =  "", NOW(), 'Raw Data'!C109), "")</f>
        <v>45541</v>
      </c>
      <c r="I510" s="30" t="str">
        <f>LEFT('Raw Data'!E26, 1)  &amp; LEFT(RIGHT('Raw Data'!E26, LEN('Raw Data'!E26) - FIND(" ", 'Raw Data'!E26)), 1)</f>
        <v>PM</v>
      </c>
    </row>
    <row r="511" spans="4:9" x14ac:dyDescent="0.35">
      <c r="D511" s="26">
        <f ca="1">IF('Raw Data'!B110 &lt;&gt; "", IF('Raw Data'!C110 =  "", NOW(), 'Raw Data'!C110), "")</f>
        <v>45544</v>
      </c>
      <c r="I511" s="30" t="str">
        <f>LEFT('Raw Data'!E27, 1)  &amp; LEFT(RIGHT('Raw Data'!E27, LEN('Raw Data'!E27) - FIND(" ", 'Raw Data'!E27)), 1)</f>
        <v>CP</v>
      </c>
    </row>
    <row r="512" spans="4:9" x14ac:dyDescent="0.35">
      <c r="D512" s="26">
        <f ca="1">IF('Raw Data'!B111 &lt;&gt; "", IF('Raw Data'!C111 =  "", NOW(), 'Raw Data'!C111), "")</f>
        <v>45544</v>
      </c>
      <c r="I512" s="30" t="str">
        <f>LEFT('Raw Data'!E28, 1)  &amp; LEFT(RIGHT('Raw Data'!E28, LEN('Raw Data'!E28) - FIND(" ", 'Raw Data'!E28)), 1)</f>
        <v>MC</v>
      </c>
    </row>
    <row r="513" spans="4:9" x14ac:dyDescent="0.35">
      <c r="D513" s="26">
        <f ca="1">IF('Raw Data'!B112 &lt;&gt; "", IF('Raw Data'!C112 =  "", NOW(), 'Raw Data'!C112), "")</f>
        <v>45545</v>
      </c>
      <c r="I513" s="30" t="str">
        <f>LEFT('Raw Data'!E29, 1)  &amp; LEFT(RIGHT('Raw Data'!E29, LEN('Raw Data'!E29) - FIND(" ", 'Raw Data'!E29)), 1)</f>
        <v>NC</v>
      </c>
    </row>
    <row r="514" spans="4:9" x14ac:dyDescent="0.35">
      <c r="D514" s="26">
        <f ca="1">IF('Raw Data'!B113 &lt;&gt; "", IF('Raw Data'!C113 =  "", NOW(), 'Raw Data'!C113), "")</f>
        <v>45547</v>
      </c>
      <c r="I514" s="30" t="str">
        <f>LEFT('Raw Data'!E30, 1)  &amp; LEFT(RIGHT('Raw Data'!E30, LEN('Raw Data'!E30) - FIND(" ", 'Raw Data'!E30)), 1)</f>
        <v>SG</v>
      </c>
    </row>
    <row r="515" spans="4:9" x14ac:dyDescent="0.35">
      <c r="D515" s="26">
        <f ca="1">IF('Raw Data'!B114 &lt;&gt; "", IF('Raw Data'!C114 =  "", NOW(), 'Raw Data'!C114), "")</f>
        <v>45548</v>
      </c>
      <c r="I515" s="30" t="str">
        <f>LEFT('Raw Data'!E31, 1)  &amp; LEFT(RIGHT('Raw Data'!E31, LEN('Raw Data'!E31) - FIND(" ", 'Raw Data'!E31)), 1)</f>
        <v>LM</v>
      </c>
    </row>
    <row r="516" spans="4:9" x14ac:dyDescent="0.35">
      <c r="D516" s="26">
        <f ca="1">IF('Raw Data'!B115 &lt;&gt; "", IF('Raw Data'!C115 =  "", NOW(), 'Raw Data'!C115), "")</f>
        <v>45550</v>
      </c>
      <c r="I516" s="30" t="str">
        <f>LEFT('Raw Data'!E32, 1)  &amp; LEFT(RIGHT('Raw Data'!E32, LEN('Raw Data'!E32) - FIND(" ", 'Raw Data'!E32)), 1)</f>
        <v>PM</v>
      </c>
    </row>
    <row r="517" spans="4:9" x14ac:dyDescent="0.35">
      <c r="D517" s="26">
        <f ca="1">IF('Raw Data'!B116 &lt;&gt; "", IF('Raw Data'!C116 =  "", NOW(), 'Raw Data'!C116), "")</f>
        <v>45551</v>
      </c>
      <c r="I517" s="30" t="str">
        <f>LEFT('Raw Data'!E33, 1)  &amp; LEFT(RIGHT('Raw Data'!E33, LEN('Raw Data'!E33) - FIND(" ", 'Raw Data'!E33)), 1)</f>
        <v>HR</v>
      </c>
    </row>
    <row r="518" spans="4:9" x14ac:dyDescent="0.35">
      <c r="D518" s="26">
        <f ca="1">IF('Raw Data'!B117 &lt;&gt; "", IF('Raw Data'!C117 =  "", NOW(), 'Raw Data'!C117), "")</f>
        <v>45551</v>
      </c>
      <c r="I518" s="30" t="str">
        <f>LEFT('Raw Data'!E34, 1)  &amp; LEFT(RIGHT('Raw Data'!E34, LEN('Raw Data'!E34) - FIND(" ", 'Raw Data'!E34)), 1)</f>
        <v>EM</v>
      </c>
    </row>
    <row r="519" spans="4:9" x14ac:dyDescent="0.35">
      <c r="D519" s="26">
        <f ca="1">IF('Raw Data'!B118 &lt;&gt; "", IF('Raw Data'!C118 =  "", NOW(), 'Raw Data'!C118), "")</f>
        <v>45554</v>
      </c>
      <c r="I519" s="30" t="str">
        <f>LEFT('Raw Data'!E35, 1)  &amp; LEFT(RIGHT('Raw Data'!E35, LEN('Raw Data'!E35) - FIND(" ", 'Raw Data'!E35)), 1)</f>
        <v>CA</v>
      </c>
    </row>
    <row r="520" spans="4:9" x14ac:dyDescent="0.35">
      <c r="D520" s="26">
        <f ca="1">IF('Raw Data'!B119 &lt;&gt; "", IF('Raw Data'!C119 =  "", NOW(), 'Raw Data'!C119), "")</f>
        <v>45554</v>
      </c>
      <c r="I520" s="30" t="str">
        <f>LEFT('Raw Data'!E36, 1)  &amp; LEFT(RIGHT('Raw Data'!E36, LEN('Raw Data'!E36) - FIND(" ", 'Raw Data'!E36)), 1)</f>
        <v>LA</v>
      </c>
    </row>
    <row r="521" spans="4:9" x14ac:dyDescent="0.35">
      <c r="D521" s="26">
        <f ca="1">IF('Raw Data'!B120 &lt;&gt; "", IF('Raw Data'!C120 =  "", NOW(), 'Raw Data'!C120), "")</f>
        <v>45554</v>
      </c>
      <c r="I521" s="30" t="str">
        <f>LEFT('Raw Data'!E37, 1)  &amp; LEFT(RIGHT('Raw Data'!E37, LEN('Raw Data'!E37) - FIND(" ", 'Raw Data'!E37)), 1)</f>
        <v>EW</v>
      </c>
    </row>
    <row r="522" spans="4:9" x14ac:dyDescent="0.35">
      <c r="D522" s="26">
        <f ca="1">IF('Raw Data'!B121 &lt;&gt; "", IF('Raw Data'!C121 =  "", NOW(), 'Raw Data'!C121), "")</f>
        <v>45559</v>
      </c>
      <c r="I522" s="30" t="str">
        <f>LEFT('Raw Data'!E38, 1)  &amp; LEFT(RIGHT('Raw Data'!E38, LEN('Raw Data'!E38) - FIND(" ", 'Raw Data'!E38)), 1)</f>
        <v>KS</v>
      </c>
    </row>
    <row r="523" spans="4:9" x14ac:dyDescent="0.35">
      <c r="D523" s="26">
        <f ca="1">IF('Raw Data'!B122 &lt;&gt; "", IF('Raw Data'!C122 =  "", NOW(), 'Raw Data'!C122), "")</f>
        <v>45560</v>
      </c>
      <c r="I523" s="30" t="str">
        <f>LEFT('Raw Data'!E39, 1)  &amp; LEFT(RIGHT('Raw Data'!E39, LEN('Raw Data'!E39) - FIND(" ", 'Raw Data'!E39)), 1)</f>
        <v>PM</v>
      </c>
    </row>
    <row r="524" spans="4:9" x14ac:dyDescent="0.35">
      <c r="D524" s="26">
        <f ca="1">IF('Raw Data'!B123 &lt;&gt; "", IF('Raw Data'!C123 =  "", NOW(), 'Raw Data'!C123), "")</f>
        <v>45563</v>
      </c>
      <c r="I524" s="30" t="str">
        <f>LEFT('Raw Data'!E40, 1)  &amp; LEFT(RIGHT('Raw Data'!E40, LEN('Raw Data'!E40) - FIND(" ", 'Raw Data'!E40)), 1)</f>
        <v>LA</v>
      </c>
    </row>
    <row r="525" spans="4:9" x14ac:dyDescent="0.35">
      <c r="D525" s="26">
        <f ca="1">IF('Raw Data'!B124 &lt;&gt; "", IF('Raw Data'!C124 =  "", NOW(), 'Raw Data'!C124), "")</f>
        <v>45564</v>
      </c>
      <c r="I525" s="30" t="str">
        <f>LEFT('Raw Data'!E41, 1)  &amp; LEFT(RIGHT('Raw Data'!E41, LEN('Raw Data'!E41) - FIND(" ", 'Raw Data'!E41)), 1)</f>
        <v>ST</v>
      </c>
    </row>
    <row r="526" spans="4:9" x14ac:dyDescent="0.35">
      <c r="D526" s="26">
        <f ca="1">IF('Raw Data'!B125 &lt;&gt; "", IF('Raw Data'!C125 =  "", NOW(), 'Raw Data'!C125), "")</f>
        <v>45566</v>
      </c>
      <c r="I526" s="30" t="str">
        <f>LEFT('Raw Data'!E42, 1)  &amp; LEFT(RIGHT('Raw Data'!E42, LEN('Raw Data'!E42) - FIND(" ", 'Raw Data'!E42)), 1)</f>
        <v>JT</v>
      </c>
    </row>
    <row r="527" spans="4:9" x14ac:dyDescent="0.35">
      <c r="D527" s="26">
        <f ca="1">IF('Raw Data'!B126 &lt;&gt; "", IF('Raw Data'!C126 =  "", NOW(), 'Raw Data'!C126), "")</f>
        <v>45572</v>
      </c>
      <c r="I527" s="30" t="str">
        <f>LEFT('Raw Data'!E43, 1)  &amp; LEFT(RIGHT('Raw Data'!E43, LEN('Raw Data'!E43) - FIND(" ", 'Raw Data'!E43)), 1)</f>
        <v>HM</v>
      </c>
    </row>
    <row r="528" spans="4:9" x14ac:dyDescent="0.35">
      <c r="D528" s="26">
        <f ca="1">IF('Raw Data'!B127 &lt;&gt; "", IF('Raw Data'!C127 =  "", NOW(), 'Raw Data'!C127), "")</f>
        <v>45572</v>
      </c>
      <c r="I528" s="30" t="str">
        <f>LEFT('Raw Data'!E44, 1)  &amp; LEFT(RIGHT('Raw Data'!E44, LEN('Raw Data'!E44) - FIND(" ", 'Raw Data'!E44)), 1)</f>
        <v>DK</v>
      </c>
    </row>
    <row r="529" spans="4:9" x14ac:dyDescent="0.35">
      <c r="D529" s="26">
        <f ca="1">IF('Raw Data'!B128 &lt;&gt; "", IF('Raw Data'!C128 =  "", NOW(), 'Raw Data'!C128), "")</f>
        <v>45573</v>
      </c>
      <c r="I529" s="30" t="str">
        <f>LEFT('Raw Data'!E45, 1)  &amp; LEFT(RIGHT('Raw Data'!E45, LEN('Raw Data'!E45) - FIND(" ", 'Raw Data'!E45)), 1)</f>
        <v>SB</v>
      </c>
    </row>
    <row r="530" spans="4:9" x14ac:dyDescent="0.35">
      <c r="D530" s="26">
        <f ca="1">IF('Raw Data'!B129 &lt;&gt; "", IF('Raw Data'!C129 =  "", NOW(), 'Raw Data'!C129), "")</f>
        <v>45573</v>
      </c>
      <c r="I530" s="30" t="str">
        <f>LEFT('Raw Data'!E46, 1)  &amp; LEFT(RIGHT('Raw Data'!E46, LEN('Raw Data'!E46) - FIND(" ", 'Raw Data'!E46)), 1)</f>
        <v>CA</v>
      </c>
    </row>
    <row r="531" spans="4:9" x14ac:dyDescent="0.35">
      <c r="D531" s="26">
        <f ca="1">IF('Raw Data'!B130 &lt;&gt; "", IF('Raw Data'!C130 =  "", NOW(), 'Raw Data'!C130), "")</f>
        <v>45576</v>
      </c>
      <c r="I531" s="30" t="str">
        <f>LEFT('Raw Data'!E47, 1)  &amp; LEFT(RIGHT('Raw Data'!E47, LEN('Raw Data'!E47) - FIND(" ", 'Raw Data'!E47)), 1)</f>
        <v>SD</v>
      </c>
    </row>
    <row r="532" spans="4:9" x14ac:dyDescent="0.35">
      <c r="D532" s="26">
        <f ca="1">IF('Raw Data'!B131 &lt;&gt; "", IF('Raw Data'!C131 =  "", NOW(), 'Raw Data'!C131), "")</f>
        <v>45579</v>
      </c>
      <c r="I532" s="30" t="str">
        <f>LEFT('Raw Data'!E48, 1)  &amp; LEFT(RIGHT('Raw Data'!E48, LEN('Raw Data'!E48) - FIND(" ", 'Raw Data'!E48)), 1)</f>
        <v>JJ</v>
      </c>
    </row>
    <row r="533" spans="4:9" x14ac:dyDescent="0.35">
      <c r="D533" s="26">
        <f ca="1">IF('Raw Data'!B132 &lt;&gt; "", IF('Raw Data'!C132 =  "", NOW(), 'Raw Data'!C132), "")</f>
        <v>45581</v>
      </c>
      <c r="I533" s="30" t="str">
        <f>LEFT('Raw Data'!E49, 1)  &amp; LEFT(RIGHT('Raw Data'!E49, LEN('Raw Data'!E49) - FIND(" ", 'Raw Data'!E49)), 1)</f>
        <v>BC</v>
      </c>
    </row>
    <row r="534" spans="4:9" x14ac:dyDescent="0.35">
      <c r="D534" s="26">
        <f ca="1">IF('Raw Data'!B133 &lt;&gt; "", IF('Raw Data'!C133 =  "", NOW(), 'Raw Data'!C133), "")</f>
        <v>45581</v>
      </c>
      <c r="I534" s="30" t="str">
        <f>LEFT('Raw Data'!E50, 1)  &amp; LEFT(RIGHT('Raw Data'!E50, LEN('Raw Data'!E50) - FIND(" ", 'Raw Data'!E50)), 1)</f>
        <v>MB</v>
      </c>
    </row>
    <row r="535" spans="4:9" x14ac:dyDescent="0.35">
      <c r="D535" s="26">
        <f ca="1">IF('Raw Data'!B134 &lt;&gt; "", IF('Raw Data'!C134 =  "", NOW(), 'Raw Data'!C134), "")</f>
        <v>45581</v>
      </c>
      <c r="I535" s="30" t="str">
        <f>LEFT('Raw Data'!E51, 1)  &amp; LEFT(RIGHT('Raw Data'!E51, LEN('Raw Data'!E51) - FIND(" ", 'Raw Data'!E51)), 1)</f>
        <v>JF</v>
      </c>
    </row>
    <row r="536" spans="4:9" x14ac:dyDescent="0.35">
      <c r="D536" s="26">
        <f ca="1">IF('Raw Data'!B135 &lt;&gt; "", IF('Raw Data'!C135 =  "", NOW(), 'Raw Data'!C135), "")</f>
        <v>45583</v>
      </c>
      <c r="I536" s="30" t="str">
        <f>LEFT('Raw Data'!E52, 1)  &amp; LEFT(RIGHT('Raw Data'!E52, LEN('Raw Data'!E52) - FIND(" ", 'Raw Data'!E52)), 1)</f>
        <v>LA</v>
      </c>
    </row>
    <row r="537" spans="4:9" x14ac:dyDescent="0.35">
      <c r="D537" s="26">
        <f ca="1">IF('Raw Data'!B136 &lt;&gt; "", IF('Raw Data'!C136 =  "", NOW(), 'Raw Data'!C136), "")</f>
        <v>45586</v>
      </c>
      <c r="I537" s="30" t="str">
        <f>LEFT('Raw Data'!E53, 1)  &amp; LEFT(RIGHT('Raw Data'!E53, LEN('Raw Data'!E53) - FIND(" ", 'Raw Data'!E53)), 1)</f>
        <v>PM</v>
      </c>
    </row>
    <row r="538" spans="4:9" x14ac:dyDescent="0.35">
      <c r="D538" s="26">
        <f ca="1">IF('Raw Data'!B137 &lt;&gt; "", IF('Raw Data'!C137 =  "", NOW(), 'Raw Data'!C137), "")</f>
        <v>45588</v>
      </c>
      <c r="I538" s="30" t="str">
        <f>LEFT('Raw Data'!E54, 1)  &amp; LEFT(RIGHT('Raw Data'!E54, LEN('Raw Data'!E54) - FIND(" ", 'Raw Data'!E54)), 1)</f>
        <v>PB</v>
      </c>
    </row>
    <row r="539" spans="4:9" x14ac:dyDescent="0.35">
      <c r="D539" s="26">
        <f ca="1">IF('Raw Data'!B138 &lt;&gt; "", IF('Raw Data'!C138 =  "", NOW(), 'Raw Data'!C138), "")</f>
        <v>45588</v>
      </c>
      <c r="I539" s="30" t="str">
        <f>LEFT('Raw Data'!E55, 1)  &amp; LEFT(RIGHT('Raw Data'!E55, LEN('Raw Data'!E55) - FIND(" ", 'Raw Data'!E55)), 1)</f>
        <v>EM</v>
      </c>
    </row>
    <row r="540" spans="4:9" x14ac:dyDescent="0.35">
      <c r="D540" s="26">
        <f ca="1">IF('Raw Data'!B139 &lt;&gt; "", IF('Raw Data'!C139 =  "", NOW(), 'Raw Data'!C139), "")</f>
        <v>45589</v>
      </c>
      <c r="I540" s="30" t="str">
        <f>LEFT('Raw Data'!E56, 1)  &amp; LEFT(RIGHT('Raw Data'!E56, LEN('Raw Data'!E56) - FIND(" ", 'Raw Data'!E56)), 1)</f>
        <v>BC</v>
      </c>
    </row>
    <row r="541" spans="4:9" x14ac:dyDescent="0.35">
      <c r="D541" s="26">
        <f ca="1">IF('Raw Data'!B140 &lt;&gt; "", IF('Raw Data'!C140 =  "", NOW(), 'Raw Data'!C140), "")</f>
        <v>45592</v>
      </c>
      <c r="I541" s="30" t="str">
        <f>LEFT('Raw Data'!E57, 1)  &amp; LEFT(RIGHT('Raw Data'!E57, LEN('Raw Data'!E57) - FIND(" ", 'Raw Data'!E57)), 1)</f>
        <v>JT</v>
      </c>
    </row>
    <row r="542" spans="4:9" x14ac:dyDescent="0.35">
      <c r="D542" s="26">
        <f ca="1">IF('Raw Data'!B141 &lt;&gt; "", IF('Raw Data'!C141 =  "", NOW(), 'Raw Data'!C141), "")</f>
        <v>45597</v>
      </c>
      <c r="I542" s="30" t="str">
        <f>LEFT('Raw Data'!E58, 1)  &amp; LEFT(RIGHT('Raw Data'!E58, LEN('Raw Data'!E58) - FIND(" ", 'Raw Data'!E58)), 1)</f>
        <v>RR</v>
      </c>
    </row>
    <row r="543" spans="4:9" x14ac:dyDescent="0.35">
      <c r="D543" s="26">
        <f ca="1">IF('Raw Data'!B142 &lt;&gt; "", IF('Raw Data'!C142 =  "", NOW(), 'Raw Data'!C142), "")</f>
        <v>45600</v>
      </c>
      <c r="I543" s="30" t="str">
        <f>LEFT('Raw Data'!E59, 1)  &amp; LEFT(RIGHT('Raw Data'!E59, LEN('Raw Data'!E59) - FIND(" ", 'Raw Data'!E59)), 1)</f>
        <v>KS</v>
      </c>
    </row>
    <row r="544" spans="4:9" x14ac:dyDescent="0.35">
      <c r="D544" s="26">
        <f ca="1">IF('Raw Data'!B143 &lt;&gt; "", IF('Raw Data'!C143 =  "", NOW(), 'Raw Data'!C143), "")</f>
        <v>45603</v>
      </c>
      <c r="I544" s="30" t="str">
        <f>LEFT('Raw Data'!E60, 1)  &amp; LEFT(RIGHT('Raw Data'!E60, LEN('Raw Data'!E60) - FIND(" ", 'Raw Data'!E60)), 1)</f>
        <v>RT</v>
      </c>
    </row>
    <row r="545" spans="4:9" x14ac:dyDescent="0.35">
      <c r="D545" s="26">
        <f ca="1">IF('Raw Data'!B144 &lt;&gt; "", IF('Raw Data'!C144 =  "", NOW(), 'Raw Data'!C144), "")</f>
        <v>45604</v>
      </c>
      <c r="I545" s="30" t="str">
        <f>LEFT('Raw Data'!E61, 1)  &amp; LEFT(RIGHT('Raw Data'!E61, LEN('Raw Data'!E61) - FIND(" ", 'Raw Data'!E61)), 1)</f>
        <v>KB</v>
      </c>
    </row>
    <row r="546" spans="4:9" x14ac:dyDescent="0.35">
      <c r="D546" s="26">
        <f ca="1">IF('Raw Data'!B145 &lt;&gt; "", IF('Raw Data'!C145 =  "", NOW(), 'Raw Data'!C145), "")</f>
        <v>45605</v>
      </c>
      <c r="I546" s="30" t="str">
        <f>LEFT('Raw Data'!E62, 1)  &amp; LEFT(RIGHT('Raw Data'!E62, LEN('Raw Data'!E62) - FIND(" ", 'Raw Data'!E62)), 1)</f>
        <v>PM</v>
      </c>
    </row>
    <row r="547" spans="4:9" x14ac:dyDescent="0.35">
      <c r="D547" s="26">
        <f ca="1">IF('Raw Data'!B146 &lt;&gt; "", IF('Raw Data'!C146 =  "", NOW(), 'Raw Data'!C146), "")</f>
        <v>45607</v>
      </c>
      <c r="I547" s="30" t="str">
        <f>LEFT('Raw Data'!E63, 1)  &amp; LEFT(RIGHT('Raw Data'!E63, LEN('Raw Data'!E63) - FIND(" ", 'Raw Data'!E63)), 1)</f>
        <v>HR</v>
      </c>
    </row>
    <row r="548" spans="4:9" x14ac:dyDescent="0.35">
      <c r="D548" s="26">
        <f ca="1">IF('Raw Data'!B147 &lt;&gt; "", IF('Raw Data'!C147 =  "", NOW(), 'Raw Data'!C147), "")</f>
        <v>45607</v>
      </c>
      <c r="I548" s="30" t="str">
        <f>LEFT('Raw Data'!E64, 1)  &amp; LEFT(RIGHT('Raw Data'!E64, LEN('Raw Data'!E64) - FIND(" ", 'Raw Data'!E64)), 1)</f>
        <v>EW</v>
      </c>
    </row>
    <row r="549" spans="4:9" x14ac:dyDescent="0.35">
      <c r="D549" s="26">
        <f ca="1">IF('Raw Data'!B148 &lt;&gt; "", IF('Raw Data'!C148 =  "", NOW(), 'Raw Data'!C148), "")</f>
        <v>45607</v>
      </c>
      <c r="I549" s="30" t="str">
        <f>LEFT('Raw Data'!E65, 1)  &amp; LEFT(RIGHT('Raw Data'!E65, LEN('Raw Data'!E65) - FIND(" ", 'Raw Data'!E65)), 1)</f>
        <v>CA</v>
      </c>
    </row>
    <row r="550" spans="4:9" x14ac:dyDescent="0.35">
      <c r="D550" s="26">
        <f ca="1">IF('Raw Data'!B149 &lt;&gt; "", IF('Raw Data'!C149 =  "", NOW(), 'Raw Data'!C149), "")</f>
        <v>45608</v>
      </c>
      <c r="I550" s="30" t="str">
        <f>LEFT('Raw Data'!E66, 1)  &amp; LEFT(RIGHT('Raw Data'!E66, LEN('Raw Data'!E66) - FIND(" ", 'Raw Data'!E66)), 1)</f>
        <v>SG</v>
      </c>
    </row>
    <row r="551" spans="4:9" x14ac:dyDescent="0.35">
      <c r="D551" s="26">
        <f ca="1">IF('Raw Data'!B150 &lt;&gt; "", IF('Raw Data'!C150 =  "", NOW(), 'Raw Data'!C150), "")</f>
        <v>45608</v>
      </c>
      <c r="I551" s="30" t="str">
        <f>LEFT('Raw Data'!E67, 1)  &amp; LEFT(RIGHT('Raw Data'!E67, LEN('Raw Data'!E67) - FIND(" ", 'Raw Data'!E67)), 1)</f>
        <v>DM</v>
      </c>
    </row>
    <row r="552" spans="4:9" x14ac:dyDescent="0.35">
      <c r="D552" s="26">
        <f ca="1">IF('Raw Data'!B151 &lt;&gt; "", IF('Raw Data'!C151 =  "", NOW(), 'Raw Data'!C151), "")</f>
        <v>45613</v>
      </c>
      <c r="I552" s="30" t="str">
        <f>LEFT('Raw Data'!E68, 1)  &amp; LEFT(RIGHT('Raw Data'!E68, LEN('Raw Data'!E68) - FIND(" ", 'Raw Data'!E68)), 1)</f>
        <v>MW</v>
      </c>
    </row>
    <row r="553" spans="4:9" x14ac:dyDescent="0.35">
      <c r="D553" s="26">
        <f ca="1">IF('Raw Data'!B152 &lt;&gt; "", IF('Raw Data'!C152 =  "", NOW(), 'Raw Data'!C152), "")</f>
        <v>45613</v>
      </c>
      <c r="I553" s="30" t="str">
        <f>LEFT('Raw Data'!E69, 1)  &amp; LEFT(RIGHT('Raw Data'!E69, LEN('Raw Data'!E69) - FIND(" ", 'Raw Data'!E69)), 1)</f>
        <v>MB</v>
      </c>
    </row>
    <row r="554" spans="4:9" x14ac:dyDescent="0.35">
      <c r="D554" s="26">
        <f ca="1">IF('Raw Data'!B153 &lt;&gt; "", IF('Raw Data'!C153 =  "", NOW(), 'Raw Data'!C153), "")</f>
        <v>45617</v>
      </c>
      <c r="I554" s="30" t="str">
        <f>LEFT('Raw Data'!E70, 1)  &amp; LEFT(RIGHT('Raw Data'!E70, LEN('Raw Data'!E70) - FIND(" ", 'Raw Data'!E70)), 1)</f>
        <v>BY</v>
      </c>
    </row>
    <row r="555" spans="4:9" x14ac:dyDescent="0.35">
      <c r="D555" s="26">
        <f ca="1">IF('Raw Data'!B154 &lt;&gt; "", IF('Raw Data'!C154 =  "", NOW(), 'Raw Data'!C154), "")</f>
        <v>45619</v>
      </c>
      <c r="I555" s="30" t="str">
        <f>LEFT('Raw Data'!E71, 1)  &amp; LEFT(RIGHT('Raw Data'!E71, LEN('Raw Data'!E71) - FIND(" ", 'Raw Data'!E71)), 1)</f>
        <v>RR</v>
      </c>
    </row>
    <row r="556" spans="4:9" x14ac:dyDescent="0.35">
      <c r="D556" s="26">
        <f ca="1">IF('Raw Data'!B155 &lt;&gt; "", IF('Raw Data'!C155 =  "", NOW(), 'Raw Data'!C155), "")</f>
        <v>45619</v>
      </c>
      <c r="I556" s="30" t="str">
        <f>LEFT('Raw Data'!E72, 1)  &amp; LEFT(RIGHT('Raw Data'!E72, LEN('Raw Data'!E72) - FIND(" ", 'Raw Data'!E72)), 1)</f>
        <v>JJ</v>
      </c>
    </row>
    <row r="557" spans="4:9" x14ac:dyDescent="0.35">
      <c r="D557" s="26">
        <f ca="1">IF('Raw Data'!B156 &lt;&gt; "", IF('Raw Data'!C156 =  "", NOW(), 'Raw Data'!C156), "")</f>
        <v>45622</v>
      </c>
      <c r="I557" s="30" t="str">
        <f>LEFT('Raw Data'!E73, 1)  &amp; LEFT(RIGHT('Raw Data'!E73, LEN('Raw Data'!E73) - FIND(" ", 'Raw Data'!E73)), 1)</f>
        <v>FT</v>
      </c>
    </row>
    <row r="558" spans="4:9" x14ac:dyDescent="0.35">
      <c r="D558" s="26">
        <f ca="1">IF('Raw Data'!B157 &lt;&gt; "", IF('Raw Data'!C157 =  "", NOW(), 'Raw Data'!C157), "")</f>
        <v>45623</v>
      </c>
      <c r="I558" s="30" t="str">
        <f>LEFT('Raw Data'!E74, 1)  &amp; LEFT(RIGHT('Raw Data'!E74, LEN('Raw Data'!E74) - FIND(" ", 'Raw Data'!E74)), 1)</f>
        <v>FT</v>
      </c>
    </row>
    <row r="559" spans="4:9" x14ac:dyDescent="0.35">
      <c r="D559" s="26">
        <f ca="1">IF('Raw Data'!B158 &lt;&gt; "", IF('Raw Data'!C158 =  "", NOW(), 'Raw Data'!C158), "")</f>
        <v>45627</v>
      </c>
      <c r="I559" s="30" t="str">
        <f>LEFT('Raw Data'!E75, 1)  &amp; LEFT(RIGHT('Raw Data'!E75, LEN('Raw Data'!E75) - FIND(" ", 'Raw Data'!E75)), 1)</f>
        <v>GM</v>
      </c>
    </row>
    <row r="560" spans="4:9" x14ac:dyDescent="0.35">
      <c r="D560" s="26">
        <f ca="1">IF('Raw Data'!B159 &lt;&gt; "", IF('Raw Data'!C159 =  "", NOW(), 'Raw Data'!C159), "")</f>
        <v>45627</v>
      </c>
      <c r="I560" s="30" t="str">
        <f>LEFT('Raw Data'!E76, 1)  &amp; LEFT(RIGHT('Raw Data'!E76, LEN('Raw Data'!E76) - FIND(" ", 'Raw Data'!E76)), 1)</f>
        <v>PR</v>
      </c>
    </row>
    <row r="561" spans="4:9" x14ac:dyDescent="0.35">
      <c r="D561" s="26">
        <f ca="1">IF('Raw Data'!B160 &lt;&gt; "", IF('Raw Data'!C160 =  "", NOW(), 'Raw Data'!C160), "")</f>
        <v>45627</v>
      </c>
      <c r="I561" s="30" t="str">
        <f>LEFT('Raw Data'!E77, 1)  &amp; LEFT(RIGHT('Raw Data'!E77, LEN('Raw Data'!E77) - FIND(" ", 'Raw Data'!E77)), 1)</f>
        <v>KH</v>
      </c>
    </row>
    <row r="562" spans="4:9" x14ac:dyDescent="0.35">
      <c r="D562" s="26">
        <f ca="1">IF('Raw Data'!B161 &lt;&gt; "", IF('Raw Data'!C161 =  "", NOW(), 'Raw Data'!C161), "")</f>
        <v>45627</v>
      </c>
      <c r="I562" s="30" t="str">
        <f>LEFT('Raw Data'!E78, 1)  &amp; LEFT(RIGHT('Raw Data'!E78, LEN('Raw Data'!E78) - FIND(" ", 'Raw Data'!E78)), 1)</f>
        <v>SB</v>
      </c>
    </row>
    <row r="563" spans="4:9" x14ac:dyDescent="0.35">
      <c r="D563" s="26">
        <f ca="1">IF('Raw Data'!B162 &lt;&gt; "", IF('Raw Data'!C162 =  "", NOW(), 'Raw Data'!C162), "")</f>
        <v>45629</v>
      </c>
      <c r="I563" s="30" t="str">
        <f>LEFT('Raw Data'!E79, 1)  &amp; LEFT(RIGHT('Raw Data'!E79, LEN('Raw Data'!E79) - FIND(" ", 'Raw Data'!E79)), 1)</f>
        <v>JJ</v>
      </c>
    </row>
    <row r="564" spans="4:9" x14ac:dyDescent="0.35">
      <c r="D564" s="26">
        <f ca="1">IF('Raw Data'!B163 &lt;&gt; "", IF('Raw Data'!C163 =  "", NOW(), 'Raw Data'!C163), "")</f>
        <v>45630</v>
      </c>
      <c r="I564" s="30" t="str">
        <f>LEFT('Raw Data'!E80, 1)  &amp; LEFT(RIGHT('Raw Data'!E80, LEN('Raw Data'!E80) - FIND(" ", 'Raw Data'!E80)), 1)</f>
        <v>DM</v>
      </c>
    </row>
    <row r="565" spans="4:9" x14ac:dyDescent="0.35">
      <c r="D565" s="26">
        <f ca="1">IF('Raw Data'!B164 &lt;&gt; "", IF('Raw Data'!C164 =  "", NOW(), 'Raw Data'!C164), "")</f>
        <v>45635</v>
      </c>
      <c r="I565" s="30" t="str">
        <f>LEFT('Raw Data'!E81, 1)  &amp; LEFT(RIGHT('Raw Data'!E81, LEN('Raw Data'!E81) - FIND(" ", 'Raw Data'!E81)), 1)</f>
        <v>GM</v>
      </c>
    </row>
    <row r="566" spans="4:9" x14ac:dyDescent="0.35">
      <c r="D566" s="26">
        <f ca="1">IF('Raw Data'!B165 &lt;&gt; "", IF('Raw Data'!C165 =  "", NOW(), 'Raw Data'!C165), "")</f>
        <v>45635</v>
      </c>
      <c r="I566" s="30" t="str">
        <f>LEFT('Raw Data'!E82, 1)  &amp; LEFT(RIGHT('Raw Data'!E82, LEN('Raw Data'!E82) - FIND(" ", 'Raw Data'!E82)), 1)</f>
        <v>BY</v>
      </c>
    </row>
    <row r="567" spans="4:9" x14ac:dyDescent="0.35">
      <c r="D567" s="26">
        <f ca="1">IF('Raw Data'!B166 &lt;&gt; "", IF('Raw Data'!C166 =  "", NOW(), 'Raw Data'!C166), "")</f>
        <v>45635</v>
      </c>
      <c r="I567" s="30" t="str">
        <f>LEFT('Raw Data'!E83, 1)  &amp; LEFT(RIGHT('Raw Data'!E83, LEN('Raw Data'!E83) - FIND(" ", 'Raw Data'!E83)), 1)</f>
        <v>DK</v>
      </c>
    </row>
    <row r="568" spans="4:9" x14ac:dyDescent="0.35">
      <c r="D568" s="26">
        <f ca="1">IF('Raw Data'!B167 &lt;&gt; "", IF('Raw Data'!C167 =  "", NOW(), 'Raw Data'!C167), "")</f>
        <v>45636</v>
      </c>
      <c r="I568" s="30" t="str">
        <f>LEFT('Raw Data'!E84, 1)  &amp; LEFT(RIGHT('Raw Data'!E84, LEN('Raw Data'!E84) - FIND(" ", 'Raw Data'!E84)), 1)</f>
        <v>MC</v>
      </c>
    </row>
    <row r="569" spans="4:9" x14ac:dyDescent="0.35">
      <c r="D569" s="26">
        <f ca="1">IF('Raw Data'!B168 &lt;&gt; "", IF('Raw Data'!C168 =  "", NOW(), 'Raw Data'!C168), "")</f>
        <v>45638</v>
      </c>
      <c r="I569" s="30" t="str">
        <f>LEFT('Raw Data'!E85, 1)  &amp; LEFT(RIGHT('Raw Data'!E85, LEN('Raw Data'!E85) - FIND(" ", 'Raw Data'!E85)), 1)</f>
        <v>DK</v>
      </c>
    </row>
    <row r="570" spans="4:9" x14ac:dyDescent="0.35">
      <c r="D570" s="26">
        <f ca="1">IF('Raw Data'!B169 &lt;&gt; "", IF('Raw Data'!C169 =  "", NOW(), 'Raw Data'!C169), "")</f>
        <v>45641</v>
      </c>
      <c r="I570" s="30" t="str">
        <f>LEFT('Raw Data'!E86, 1)  &amp; LEFT(RIGHT('Raw Data'!E86, LEN('Raw Data'!E86) - FIND(" ", 'Raw Data'!E86)), 1)</f>
        <v>MC</v>
      </c>
    </row>
    <row r="571" spans="4:9" x14ac:dyDescent="0.35">
      <c r="D571" s="26">
        <f ca="1">IF('Raw Data'!B170 &lt;&gt; "", IF('Raw Data'!C170 =  "", NOW(), 'Raw Data'!C170), "")</f>
        <v>45641</v>
      </c>
      <c r="I571" s="30" t="str">
        <f>LEFT('Raw Data'!E87, 1)  &amp; LEFT(RIGHT('Raw Data'!E87, LEN('Raw Data'!E87) - FIND(" ", 'Raw Data'!E87)), 1)</f>
        <v>HR</v>
      </c>
    </row>
    <row r="572" spans="4:9" x14ac:dyDescent="0.35">
      <c r="D572" s="26">
        <f ca="1">IF('Raw Data'!B171 &lt;&gt; "", IF('Raw Data'!C171 =  "", NOW(), 'Raw Data'!C171), "")</f>
        <v>45644</v>
      </c>
      <c r="I572" s="30" t="str">
        <f>LEFT('Raw Data'!E88, 1)  &amp; LEFT(RIGHT('Raw Data'!E88, LEN('Raw Data'!E88) - FIND(" ", 'Raw Data'!E88)), 1)</f>
        <v>EH</v>
      </c>
    </row>
    <row r="573" spans="4:9" x14ac:dyDescent="0.35">
      <c r="D573" s="26">
        <f ca="1">IF('Raw Data'!B172 &lt;&gt; "", IF('Raw Data'!C172 =  "", NOW(), 'Raw Data'!C172), "")</f>
        <v>45645</v>
      </c>
      <c r="I573" s="30" t="str">
        <f>LEFT('Raw Data'!E89, 1)  &amp; LEFT(RIGHT('Raw Data'!E89, LEN('Raw Data'!E89) - FIND(" ", 'Raw Data'!E89)), 1)</f>
        <v>CP</v>
      </c>
    </row>
    <row r="574" spans="4:9" x14ac:dyDescent="0.35">
      <c r="D574" s="26">
        <f ca="1">IF('Raw Data'!B173 &lt;&gt; "", IF('Raw Data'!C173 =  "", NOW(), 'Raw Data'!C173), "")</f>
        <v>45645</v>
      </c>
      <c r="I574" s="30" t="str">
        <f>LEFT('Raw Data'!E90, 1)  &amp; LEFT(RIGHT('Raw Data'!E90, LEN('Raw Data'!E90) - FIND(" ", 'Raw Data'!E90)), 1)</f>
        <v>MG</v>
      </c>
    </row>
    <row r="575" spans="4:9" x14ac:dyDescent="0.35">
      <c r="D575" s="26">
        <f ca="1">IF('Raw Data'!B174 &lt;&gt; "", IF('Raw Data'!C174 =  "", NOW(), 'Raw Data'!C174), "")</f>
        <v>45646</v>
      </c>
      <c r="I575" s="30" t="str">
        <f>LEFT('Raw Data'!E91, 1)  &amp; LEFT(RIGHT('Raw Data'!E91, LEN('Raw Data'!E91) - FIND(" ", 'Raw Data'!E91)), 1)</f>
        <v>MC</v>
      </c>
    </row>
    <row r="576" spans="4:9" x14ac:dyDescent="0.35">
      <c r="D576" s="26">
        <f ca="1">IF('Raw Data'!B175 &lt;&gt; "", IF('Raw Data'!C175 =  "", NOW(), 'Raw Data'!C175), "")</f>
        <v>45648</v>
      </c>
      <c r="I576" s="30" t="str">
        <f>LEFT('Raw Data'!E92, 1)  &amp; LEFT(RIGHT('Raw Data'!E92, LEN('Raw Data'!E92) - FIND(" ", 'Raw Data'!E92)), 1)</f>
        <v>DM</v>
      </c>
    </row>
    <row r="577" spans="4:9" x14ac:dyDescent="0.35">
      <c r="D577" s="26">
        <f ca="1">IF('Raw Data'!B176 &lt;&gt; "", IF('Raw Data'!C176 =  "", NOW(), 'Raw Data'!C176), "")</f>
        <v>45648</v>
      </c>
      <c r="I577" s="30" t="str">
        <f>LEFT('Raw Data'!E93, 1)  &amp; LEFT(RIGHT('Raw Data'!E93, LEN('Raw Data'!E93) - FIND(" ", 'Raw Data'!E93)), 1)</f>
        <v>MW</v>
      </c>
    </row>
    <row r="578" spans="4:9" x14ac:dyDescent="0.35">
      <c r="D578" s="26">
        <f ca="1">IF('Raw Data'!B177 &lt;&gt; "", IF('Raw Data'!C177 =  "", NOW(), 'Raw Data'!C177), "")</f>
        <v>45649</v>
      </c>
      <c r="I578" s="30" t="str">
        <f>LEFT('Raw Data'!E94, 1)  &amp; LEFT(RIGHT('Raw Data'!E94, LEN('Raw Data'!E94) - FIND(" ", 'Raw Data'!E94)), 1)</f>
        <v>KH</v>
      </c>
    </row>
    <row r="579" spans="4:9" x14ac:dyDescent="0.35">
      <c r="D579" s="26">
        <f ca="1">IF('Raw Data'!B178 &lt;&gt; "", IF('Raw Data'!C178 =  "", NOW(), 'Raw Data'!C178), "")</f>
        <v>45654</v>
      </c>
      <c r="I579" s="30" t="str">
        <f>LEFT('Raw Data'!E95, 1)  &amp; LEFT(RIGHT('Raw Data'!E95, LEN('Raw Data'!E95) - FIND(" ", 'Raw Data'!E95)), 1)</f>
        <v>KB</v>
      </c>
    </row>
    <row r="580" spans="4:9" x14ac:dyDescent="0.35">
      <c r="D580" s="26">
        <f ca="1">IF('Raw Data'!B179 &lt;&gt; "", IF('Raw Data'!C179 =  "", NOW(), 'Raw Data'!C179), "")</f>
        <v>45654</v>
      </c>
      <c r="I580" s="30" t="str">
        <f>LEFT('Raw Data'!E96, 1)  &amp; LEFT(RIGHT('Raw Data'!E96, LEN('Raw Data'!E96) - FIND(" ", 'Raw Data'!E96)), 1)</f>
        <v>BC</v>
      </c>
    </row>
    <row r="581" spans="4:9" x14ac:dyDescent="0.35">
      <c r="D581" s="26">
        <f ca="1">IF('Raw Data'!B180 &lt;&gt; "", IF('Raw Data'!C180 =  "", NOW(), 'Raw Data'!C180), "")</f>
        <v>45655</v>
      </c>
      <c r="I581" s="30" t="str">
        <f>LEFT('Raw Data'!E97, 1)  &amp; LEFT(RIGHT('Raw Data'!E97, LEN('Raw Data'!E97) - FIND(" ", 'Raw Data'!E97)), 1)</f>
        <v>MC</v>
      </c>
    </row>
    <row r="582" spans="4:9" x14ac:dyDescent="0.35">
      <c r="D582" s="26">
        <f ca="1">IF('Raw Data'!B181 &lt;&gt; "", IF('Raw Data'!C181 =  "", NOW(), 'Raw Data'!C181), "")</f>
        <v>45655</v>
      </c>
      <c r="I582" s="30" t="str">
        <f>LEFT('Raw Data'!E98, 1)  &amp; LEFT(RIGHT('Raw Data'!E98, LEN('Raw Data'!E98) - FIND(" ", 'Raw Data'!E98)), 1)</f>
        <v>GM</v>
      </c>
    </row>
    <row r="583" spans="4:9" x14ac:dyDescent="0.35">
      <c r="D583" s="26">
        <f ca="1">IF('Raw Data'!B182 &lt;&gt; "", IF('Raw Data'!C182 =  "", NOW(), 'Raw Data'!C182), "")</f>
        <v>45657</v>
      </c>
      <c r="I583" s="30" t="str">
        <f>LEFT('Raw Data'!E99, 1)  &amp; LEFT(RIGHT('Raw Data'!E99, LEN('Raw Data'!E99) - FIND(" ", 'Raw Data'!E99)), 1)</f>
        <v>NC</v>
      </c>
    </row>
    <row r="584" spans="4:9" x14ac:dyDescent="0.35">
      <c r="D584" s="26">
        <f ca="1">IF('Raw Data'!B183 &lt;&gt; "", IF('Raw Data'!C183 =  "", NOW(), 'Raw Data'!C183), "")</f>
        <v>45660</v>
      </c>
      <c r="I584" s="30" t="str">
        <f>LEFT('Raw Data'!E100, 1)  &amp; LEFT(RIGHT('Raw Data'!E100, LEN('Raw Data'!E100) - FIND(" ", 'Raw Data'!E100)), 1)</f>
        <v>CP</v>
      </c>
    </row>
    <row r="585" spans="4:9" x14ac:dyDescent="0.35">
      <c r="D585" s="26">
        <f ca="1">IF('Raw Data'!B184 &lt;&gt; "", IF('Raw Data'!C184 =  "", NOW(), 'Raw Data'!C184), "")</f>
        <v>45661</v>
      </c>
      <c r="I585" s="30" t="str">
        <f>LEFT('Raw Data'!E101, 1)  &amp; LEFT(RIGHT('Raw Data'!E101, LEN('Raw Data'!E101) - FIND(" ", 'Raw Data'!E101)), 1)</f>
        <v>LR</v>
      </c>
    </row>
    <row r="586" spans="4:9" x14ac:dyDescent="0.35">
      <c r="D586" s="26">
        <f ca="1">IF('Raw Data'!B185 &lt;&gt; "", IF('Raw Data'!C185 =  "", NOW(), 'Raw Data'!C185), "")</f>
        <v>45663</v>
      </c>
      <c r="I586" s="30" t="str">
        <f>LEFT('Raw Data'!E102, 1)  &amp; LEFT(RIGHT('Raw Data'!E102, LEN('Raw Data'!E102) - FIND(" ", 'Raw Data'!E102)), 1)</f>
        <v>HM</v>
      </c>
    </row>
    <row r="587" spans="4:9" x14ac:dyDescent="0.35">
      <c r="D587" s="26">
        <f ca="1">IF('Raw Data'!B186 &lt;&gt; "", IF('Raw Data'!C186 =  "", NOW(), 'Raw Data'!C186), "")</f>
        <v>45663</v>
      </c>
      <c r="I587" s="30" t="str">
        <f>LEFT('Raw Data'!E103, 1)  &amp; LEFT(RIGHT('Raw Data'!E103, LEN('Raw Data'!E103) - FIND(" ", 'Raw Data'!E103)), 1)</f>
        <v>GM</v>
      </c>
    </row>
    <row r="588" spans="4:9" x14ac:dyDescent="0.35">
      <c r="D588" s="26">
        <f ca="1">IF('Raw Data'!B187 &lt;&gt; "", IF('Raw Data'!C187 =  "", NOW(), 'Raw Data'!C187), "")</f>
        <v>45666</v>
      </c>
      <c r="I588" s="30" t="str">
        <f>LEFT('Raw Data'!E104, 1)  &amp; LEFT(RIGHT('Raw Data'!E104, LEN('Raw Data'!E104) - FIND(" ", 'Raw Data'!E104)), 1)</f>
        <v>CE</v>
      </c>
    </row>
    <row r="589" spans="4:9" x14ac:dyDescent="0.35">
      <c r="D589" s="26">
        <f ca="1">IF('Raw Data'!B188 &lt;&gt; "", IF('Raw Data'!C188 =  "", NOW(), 'Raw Data'!C188), "")</f>
        <v>45667</v>
      </c>
      <c r="I589" s="30" t="str">
        <f>LEFT('Raw Data'!E105, 1)  &amp; LEFT(RIGHT('Raw Data'!E105, LEN('Raw Data'!E105) - FIND(" ", 'Raw Data'!E105)), 1)</f>
        <v>SP</v>
      </c>
    </row>
    <row r="590" spans="4:9" x14ac:dyDescent="0.35">
      <c r="D590" s="26">
        <f ca="1">IF('Raw Data'!B189 &lt;&gt; "", IF('Raw Data'!C189 =  "", NOW(), 'Raw Data'!C189), "")</f>
        <v>45667</v>
      </c>
      <c r="I590" s="30" t="str">
        <f>LEFT('Raw Data'!E106, 1)  &amp; LEFT(RIGHT('Raw Data'!E106, LEN('Raw Data'!E106) - FIND(" ", 'Raw Data'!E106)), 1)</f>
        <v>CE</v>
      </c>
    </row>
    <row r="591" spans="4:9" x14ac:dyDescent="0.35">
      <c r="D591" s="26">
        <f ca="1">IF('Raw Data'!B190 &lt;&gt; "", IF('Raw Data'!C190 =  "", NOW(), 'Raw Data'!C190), "")</f>
        <v>45668</v>
      </c>
      <c r="I591" s="30" t="str">
        <f>LEFT('Raw Data'!E107, 1)  &amp; LEFT(RIGHT('Raw Data'!E107, LEN('Raw Data'!E107) - FIND(" ", 'Raw Data'!E107)), 1)</f>
        <v>PB</v>
      </c>
    </row>
    <row r="592" spans="4:9" x14ac:dyDescent="0.35">
      <c r="D592" s="26">
        <f ca="1">IF('Raw Data'!B191 &lt;&gt; "", IF('Raw Data'!C191 =  "", NOW(), 'Raw Data'!C191), "")</f>
        <v>45668</v>
      </c>
      <c r="I592" s="30" t="str">
        <f>LEFT('Raw Data'!E108, 1)  &amp; LEFT(RIGHT('Raw Data'!E108, LEN('Raw Data'!E108) - FIND(" ", 'Raw Data'!E108)), 1)</f>
        <v>LR</v>
      </c>
    </row>
    <row r="593" spans="4:9" x14ac:dyDescent="0.35">
      <c r="D593" s="26">
        <f ca="1">IF('Raw Data'!B192 &lt;&gt; "", IF('Raw Data'!C192 =  "", NOW(), 'Raw Data'!C192), "")</f>
        <v>45670</v>
      </c>
      <c r="I593" s="30" t="str">
        <f>LEFT('Raw Data'!E109, 1)  &amp; LEFT(RIGHT('Raw Data'!E109, LEN('Raw Data'!E109) - FIND(" ", 'Raw Data'!E109)), 1)</f>
        <v>ST</v>
      </c>
    </row>
    <row r="594" spans="4:9" x14ac:dyDescent="0.35">
      <c r="D594" s="26">
        <f ca="1">IF('Raw Data'!B193 &lt;&gt; "", IF('Raw Data'!C193 =  "", NOW(), 'Raw Data'!C193), "")</f>
        <v>45670</v>
      </c>
      <c r="I594" s="30" t="str">
        <f>LEFT('Raw Data'!E110, 1)  &amp; LEFT(RIGHT('Raw Data'!E110, LEN('Raw Data'!E110) - FIND(" ", 'Raw Data'!E110)), 1)</f>
        <v>EW</v>
      </c>
    </row>
    <row r="595" spans="4:9" x14ac:dyDescent="0.35">
      <c r="D595" s="26">
        <f ca="1">IF('Raw Data'!B194 &lt;&gt; "", IF('Raw Data'!C194 =  "", NOW(), 'Raw Data'!C194), "")</f>
        <v>45671</v>
      </c>
      <c r="I595" s="30" t="str">
        <f>LEFT('Raw Data'!E111, 1)  &amp; LEFT(RIGHT('Raw Data'!E111, LEN('Raw Data'!E111) - FIND(" ", 'Raw Data'!E111)), 1)</f>
        <v>JT</v>
      </c>
    </row>
    <row r="596" spans="4:9" x14ac:dyDescent="0.35">
      <c r="D596" s="26">
        <f ca="1">IF('Raw Data'!B195 &lt;&gt; "", IF('Raw Data'!C195 =  "", NOW(), 'Raw Data'!C195), "")</f>
        <v>45671</v>
      </c>
      <c r="I596" s="30" t="str">
        <f>LEFT('Raw Data'!E112, 1)  &amp; LEFT(RIGHT('Raw Data'!E112, LEN('Raw Data'!E112) - FIND(" ", 'Raw Data'!E112)), 1)</f>
        <v>CA</v>
      </c>
    </row>
    <row r="597" spans="4:9" x14ac:dyDescent="0.35">
      <c r="D597" s="26">
        <f ca="1">IF('Raw Data'!B196 &lt;&gt; "", IF('Raw Data'!C196 =  "", NOW(), 'Raw Data'!C196), "")</f>
        <v>45671</v>
      </c>
      <c r="I597" s="30" t="str">
        <f>LEFT('Raw Data'!E113, 1)  &amp; LEFT(RIGHT('Raw Data'!E113, LEN('Raw Data'!E113) - FIND(" ", 'Raw Data'!E113)), 1)</f>
        <v>DN</v>
      </c>
    </row>
    <row r="598" spans="4:9" x14ac:dyDescent="0.35">
      <c r="D598" s="26">
        <f ca="1">IF('Raw Data'!B197 &lt;&gt; "", IF('Raw Data'!C197 =  "", NOW(), 'Raw Data'!C197), "")</f>
        <v>45673</v>
      </c>
      <c r="I598" s="30" t="str">
        <f>LEFT('Raw Data'!E114, 1)  &amp; LEFT(RIGHT('Raw Data'!E114, LEN('Raw Data'!E114) - FIND(" ", 'Raw Data'!E114)), 1)</f>
        <v>KB</v>
      </c>
    </row>
    <row r="599" spans="4:9" x14ac:dyDescent="0.35">
      <c r="D599" s="26">
        <f ca="1">IF('Raw Data'!B198 &lt;&gt; "", IF('Raw Data'!C198 =  "", NOW(), 'Raw Data'!C198), "")</f>
        <v>45673</v>
      </c>
      <c r="I599" s="30" t="str">
        <f>LEFT('Raw Data'!E115, 1)  &amp; LEFT(RIGHT('Raw Data'!E115, LEN('Raw Data'!E115) - FIND(" ", 'Raw Data'!E115)), 1)</f>
        <v>RB</v>
      </c>
    </row>
    <row r="600" spans="4:9" x14ac:dyDescent="0.35">
      <c r="D600" s="26">
        <f ca="1">IF('Raw Data'!B199 &lt;&gt; "", IF('Raw Data'!C199 =  "", NOW(), 'Raw Data'!C199), "")</f>
        <v>45673</v>
      </c>
      <c r="I600" s="30" t="str">
        <f>LEFT('Raw Data'!E116, 1)  &amp; LEFT(RIGHT('Raw Data'!E116, LEN('Raw Data'!E116) - FIND(" ", 'Raw Data'!E116)), 1)</f>
        <v>KH</v>
      </c>
    </row>
    <row r="601" spans="4:9" x14ac:dyDescent="0.35">
      <c r="D601" s="26">
        <f ca="1">IF('Raw Data'!B200 &lt;&gt; "", IF('Raw Data'!C200 =  "", NOW(), 'Raw Data'!C200), "")</f>
        <v>45676</v>
      </c>
      <c r="I601" s="30" t="str">
        <f>LEFT('Raw Data'!E117, 1)  &amp; LEFT(RIGHT('Raw Data'!E117, LEN('Raw Data'!E117) - FIND(" ", 'Raw Data'!E117)), 1)</f>
        <v>SD</v>
      </c>
    </row>
    <row r="602" spans="4:9" x14ac:dyDescent="0.35">
      <c r="D602" s="26">
        <f ca="1">IF('Raw Data'!B201 &lt;&gt; "", IF('Raw Data'!C201 =  "", NOW(), 'Raw Data'!C201), "")</f>
        <v>45682</v>
      </c>
      <c r="I602" s="30" t="str">
        <f>LEFT('Raw Data'!E118, 1)  &amp; LEFT(RIGHT('Raw Data'!E118, LEN('Raw Data'!E118) - FIND(" ", 'Raw Data'!E118)), 1)</f>
        <v>DK</v>
      </c>
    </row>
    <row r="603" spans="4:9" x14ac:dyDescent="0.35">
      <c r="D603" s="26">
        <f ca="1">IF('Raw Data'!B202 &lt;&gt; "", IF('Raw Data'!C202 =  "", NOW(), 'Raw Data'!C202), "")</f>
        <v>45683</v>
      </c>
      <c r="I603" s="30" t="str">
        <f>LEFT('Raw Data'!E119, 1)  &amp; LEFT(RIGHT('Raw Data'!E119, LEN('Raw Data'!E119) - FIND(" ", 'Raw Data'!E119)), 1)</f>
        <v>WW</v>
      </c>
    </row>
    <row r="604" spans="4:9" x14ac:dyDescent="0.35">
      <c r="D604" s="26">
        <f ca="1">IF('Raw Data'!B203 &lt;&gt; "", IF('Raw Data'!C203 =  "", NOW(), 'Raw Data'!C203), "")</f>
        <v>45686</v>
      </c>
      <c r="I604" s="30" t="str">
        <f>LEFT('Raw Data'!E120, 1)  &amp; LEFT(RIGHT('Raw Data'!E120, LEN('Raw Data'!E120) - FIND(" ", 'Raw Data'!E120)), 1)</f>
        <v>PR</v>
      </c>
    </row>
    <row r="605" spans="4:9" x14ac:dyDescent="0.35">
      <c r="D605" s="26">
        <f ca="1">IF('Raw Data'!B204 &lt;&gt; "", IF('Raw Data'!C204 =  "", NOW(), 'Raw Data'!C204), "")</f>
        <v>45686</v>
      </c>
      <c r="I605" s="30" t="str">
        <f>LEFT('Raw Data'!E121, 1)  &amp; LEFT(RIGHT('Raw Data'!E121, LEN('Raw Data'!E121) - FIND(" ", 'Raw Data'!E121)), 1)</f>
        <v>SP</v>
      </c>
    </row>
    <row r="606" spans="4:9" x14ac:dyDescent="0.35">
      <c r="D606" s="26">
        <f ca="1">IF('Raw Data'!B205 &lt;&gt; "", IF('Raw Data'!C205 =  "", NOW(), 'Raw Data'!C205), "")</f>
        <v>45686</v>
      </c>
      <c r="I606" s="30" t="str">
        <f>LEFT('Raw Data'!E122, 1)  &amp; LEFT(RIGHT('Raw Data'!E122, LEN('Raw Data'!E122) - FIND(" ", 'Raw Data'!E122)), 1)</f>
        <v>LM</v>
      </c>
    </row>
    <row r="607" spans="4:9" x14ac:dyDescent="0.35">
      <c r="D607" s="26">
        <f ca="1">IF('Raw Data'!B206 &lt;&gt; "", IF('Raw Data'!C206 =  "", NOW(), 'Raw Data'!C206), "")</f>
        <v>45688</v>
      </c>
      <c r="I607" s="30" t="str">
        <f>LEFT('Raw Data'!E123, 1)  &amp; LEFT(RIGHT('Raw Data'!E123, LEN('Raw Data'!E123) - FIND(" ", 'Raw Data'!E123)), 1)</f>
        <v>PM</v>
      </c>
    </row>
    <row r="608" spans="4:9" x14ac:dyDescent="0.35">
      <c r="D608" s="26">
        <f ca="1">IF('Raw Data'!B207 &lt;&gt; "", IF('Raw Data'!C207 =  "", NOW(), 'Raw Data'!C207), "")</f>
        <v>45688</v>
      </c>
      <c r="I608" s="30" t="str">
        <f>LEFT('Raw Data'!E124, 1)  &amp; LEFT(RIGHT('Raw Data'!E124, LEN('Raw Data'!E124) - FIND(" ", 'Raw Data'!E124)), 1)</f>
        <v>RL</v>
      </c>
    </row>
    <row r="609" spans="4:9" x14ac:dyDescent="0.35">
      <c r="D609" s="26">
        <f ca="1">IF('Raw Data'!B208 &lt;&gt; "", IF('Raw Data'!C208 =  "", NOW(), 'Raw Data'!C208), "")</f>
        <v>45688</v>
      </c>
      <c r="I609" s="30" t="str">
        <f>LEFT('Raw Data'!E125, 1)  &amp; LEFT(RIGHT('Raw Data'!E125, LEN('Raw Data'!E125) - FIND(" ", 'Raw Data'!E125)), 1)</f>
        <v>MB</v>
      </c>
    </row>
    <row r="610" spans="4:9" x14ac:dyDescent="0.35">
      <c r="D610" s="26">
        <f ca="1">IF('Raw Data'!B209 &lt;&gt; "", IF('Raw Data'!C209 =  "", NOW(), 'Raw Data'!C209), "")</f>
        <v>45692</v>
      </c>
      <c r="I610" s="30" t="str">
        <f>LEFT('Raw Data'!E126, 1)  &amp; LEFT(RIGHT('Raw Data'!E126, LEN('Raw Data'!E126) - FIND(" ", 'Raw Data'!E126)), 1)</f>
        <v>MG</v>
      </c>
    </row>
    <row r="611" spans="4:9" x14ac:dyDescent="0.35">
      <c r="D611" s="26">
        <f ca="1">IF('Raw Data'!B210 &lt;&gt; "", IF('Raw Data'!C210 =  "", NOW(), 'Raw Data'!C210), "")</f>
        <v>45695</v>
      </c>
      <c r="I611" s="30" t="str">
        <f>LEFT('Raw Data'!E127, 1)  &amp; LEFT(RIGHT('Raw Data'!E127, LEN('Raw Data'!E127) - FIND(" ", 'Raw Data'!E127)), 1)</f>
        <v>SP</v>
      </c>
    </row>
    <row r="612" spans="4:9" x14ac:dyDescent="0.35">
      <c r="D612" s="26">
        <f ca="1">IF('Raw Data'!B211 &lt;&gt; "", IF('Raw Data'!C211 =  "", NOW(), 'Raw Data'!C211), "")</f>
        <v>45695</v>
      </c>
      <c r="I612" s="30" t="str">
        <f>LEFT('Raw Data'!E128, 1)  &amp; LEFT(RIGHT('Raw Data'!E128, LEN('Raw Data'!E128) - FIND(" ", 'Raw Data'!E128)), 1)</f>
        <v>EH</v>
      </c>
    </row>
    <row r="613" spans="4:9" x14ac:dyDescent="0.35">
      <c r="D613" s="26">
        <f ca="1">IF('Raw Data'!B212 &lt;&gt; "", IF('Raw Data'!C212 =  "", NOW(), 'Raw Data'!C212), "")</f>
        <v>45696</v>
      </c>
      <c r="I613" s="30" t="str">
        <f>LEFT('Raw Data'!E129, 1)  &amp; LEFT(RIGHT('Raw Data'!E129, LEN('Raw Data'!E129) - FIND(" ", 'Raw Data'!E129)), 1)</f>
        <v>CE</v>
      </c>
    </row>
    <row r="614" spans="4:9" x14ac:dyDescent="0.35">
      <c r="D614" s="26">
        <f ca="1">IF('Raw Data'!B213 &lt;&gt; "", IF('Raw Data'!C213 =  "", NOW(), 'Raw Data'!C213), "")</f>
        <v>45701</v>
      </c>
      <c r="I614" s="30" t="str">
        <f>LEFT('Raw Data'!E130, 1)  &amp; LEFT(RIGHT('Raw Data'!E130, LEN('Raw Data'!E130) - FIND(" ", 'Raw Data'!E130)), 1)</f>
        <v>DK</v>
      </c>
    </row>
    <row r="615" spans="4:9" x14ac:dyDescent="0.35">
      <c r="D615" s="26">
        <f ca="1">IF('Raw Data'!B214 &lt;&gt; "", IF('Raw Data'!C214 =  "", NOW(), 'Raw Data'!C214), "")</f>
        <v>45704</v>
      </c>
      <c r="I615" s="30" t="str">
        <f>LEFT('Raw Data'!E131, 1)  &amp; LEFT(RIGHT('Raw Data'!E131, LEN('Raw Data'!E131) - FIND(" ", 'Raw Data'!E131)), 1)</f>
        <v>GA</v>
      </c>
    </row>
    <row r="616" spans="4:9" x14ac:dyDescent="0.35">
      <c r="D616" s="26">
        <f ca="1">IF('Raw Data'!B215 &lt;&gt; "", IF('Raw Data'!C215 =  "", NOW(), 'Raw Data'!C215), "")</f>
        <v>45704</v>
      </c>
      <c r="I616" s="30" t="str">
        <f>LEFT('Raw Data'!E132, 1)  &amp; LEFT(RIGHT('Raw Data'!E132, LEN('Raw Data'!E132) - FIND(" ", 'Raw Data'!E132)), 1)</f>
        <v>BY</v>
      </c>
    </row>
    <row r="617" spans="4:9" x14ac:dyDescent="0.35">
      <c r="D617" s="26">
        <f ca="1">IF('Raw Data'!B216 &lt;&gt; "", IF('Raw Data'!C216 =  "", NOW(), 'Raw Data'!C216), "")</f>
        <v>45705</v>
      </c>
      <c r="I617" s="30" t="str">
        <f>LEFT('Raw Data'!E133, 1)  &amp; LEFT(RIGHT('Raw Data'!E133, LEN('Raw Data'!E133) - FIND(" ", 'Raw Data'!E133)), 1)</f>
        <v>RR</v>
      </c>
    </row>
    <row r="618" spans="4:9" x14ac:dyDescent="0.35">
      <c r="D618" s="26">
        <f ca="1">IF('Raw Data'!B217 &lt;&gt; "", IF('Raw Data'!C217 =  "", NOW(), 'Raw Data'!C217), "")</f>
        <v>45707</v>
      </c>
      <c r="I618" s="30" t="str">
        <f>LEFT('Raw Data'!E134, 1)  &amp; LEFT(RIGHT('Raw Data'!E134, LEN('Raw Data'!E134) - FIND(" ", 'Raw Data'!E134)), 1)</f>
        <v>SB</v>
      </c>
    </row>
    <row r="619" spans="4:9" x14ac:dyDescent="0.35">
      <c r="D619" s="26">
        <f ca="1">IF('Raw Data'!B218 &lt;&gt; "", IF('Raw Data'!C218 =  "", NOW(), 'Raw Data'!C218), "")</f>
        <v>45707</v>
      </c>
      <c r="I619" s="30" t="str">
        <f>LEFT('Raw Data'!E135, 1)  &amp; LEFT(RIGHT('Raw Data'!E135, LEN('Raw Data'!E135) - FIND(" ", 'Raw Data'!E135)), 1)</f>
        <v>LR</v>
      </c>
    </row>
    <row r="620" spans="4:9" x14ac:dyDescent="0.35">
      <c r="D620" s="26">
        <f ca="1">IF('Raw Data'!B219 &lt;&gt; "", IF('Raw Data'!C219 =  "", NOW(), 'Raw Data'!C219), "")</f>
        <v>45708</v>
      </c>
      <c r="I620" s="30" t="str">
        <f>LEFT('Raw Data'!E136, 1)  &amp; LEFT(RIGHT('Raw Data'!E136, LEN('Raw Data'!E136) - FIND(" ", 'Raw Data'!E136)), 1)</f>
        <v>LR</v>
      </c>
    </row>
    <row r="621" spans="4:9" x14ac:dyDescent="0.35">
      <c r="D621" s="26">
        <f ca="1">IF('Raw Data'!B220 &lt;&gt; "", IF('Raw Data'!C220 =  "", NOW(), 'Raw Data'!C220), "")</f>
        <v>45708</v>
      </c>
      <c r="I621" s="30" t="str">
        <f>LEFT('Raw Data'!E137, 1)  &amp; LEFT(RIGHT('Raw Data'!E137, LEN('Raw Data'!E137) - FIND(" ", 'Raw Data'!E137)), 1)</f>
        <v>KB</v>
      </c>
    </row>
    <row r="622" spans="4:9" x14ac:dyDescent="0.35">
      <c r="D622" s="26">
        <f ca="1">IF('Raw Data'!B221 &lt;&gt; "", IF('Raw Data'!C221 =  "", NOW(), 'Raw Data'!C221), "")</f>
        <v>45710</v>
      </c>
      <c r="I622" s="30" t="str">
        <f>LEFT('Raw Data'!E138, 1)  &amp; LEFT(RIGHT('Raw Data'!E138, LEN('Raw Data'!E138) - FIND(" ", 'Raw Data'!E138)), 1)</f>
        <v>SD</v>
      </c>
    </row>
    <row r="623" spans="4:9" x14ac:dyDescent="0.35">
      <c r="D623" s="26">
        <f ca="1">IF('Raw Data'!B222 &lt;&gt; "", IF('Raw Data'!C222 =  "", NOW(), 'Raw Data'!C222), "")</f>
        <v>45710</v>
      </c>
      <c r="I623" s="30" t="str">
        <f>LEFT('Raw Data'!E139, 1)  &amp; LEFT(RIGHT('Raw Data'!E139, LEN('Raw Data'!E139) - FIND(" ", 'Raw Data'!E139)), 1)</f>
        <v>BC</v>
      </c>
    </row>
    <row r="624" spans="4:9" x14ac:dyDescent="0.35">
      <c r="D624" s="26">
        <f ca="1">IF('Raw Data'!B223 &lt;&gt; "", IF('Raw Data'!C223 =  "", NOW(), 'Raw Data'!C223), "")</f>
        <v>45711</v>
      </c>
      <c r="I624" s="30" t="str">
        <f>LEFT('Raw Data'!E140, 1)  &amp; LEFT(RIGHT('Raw Data'!E140, LEN('Raw Data'!E140) - FIND(" ", 'Raw Data'!E140)), 1)</f>
        <v>RR</v>
      </c>
    </row>
    <row r="625" spans="4:9" x14ac:dyDescent="0.35">
      <c r="D625" s="26">
        <f ca="1">IF('Raw Data'!B224 &lt;&gt; "", IF('Raw Data'!C224 =  "", NOW(), 'Raw Data'!C224), "")</f>
        <v>45711</v>
      </c>
      <c r="I625" s="30" t="str">
        <f>LEFT('Raw Data'!E141, 1)  &amp; LEFT(RIGHT('Raw Data'!E141, LEN('Raw Data'!E141) - FIND(" ", 'Raw Data'!E141)), 1)</f>
        <v>PB</v>
      </c>
    </row>
    <row r="626" spans="4:9" x14ac:dyDescent="0.35">
      <c r="D626" s="26">
        <f ca="1">IF('Raw Data'!B225 &lt;&gt; "", IF('Raw Data'!C225 =  "", NOW(), 'Raw Data'!C225), "")</f>
        <v>45711</v>
      </c>
      <c r="I626" s="30" t="str">
        <f>LEFT('Raw Data'!E142, 1)  &amp; LEFT(RIGHT('Raw Data'!E142, LEN('Raw Data'!E142) - FIND(" ", 'Raw Data'!E142)), 1)</f>
        <v>KH</v>
      </c>
    </row>
    <row r="627" spans="4:9" x14ac:dyDescent="0.35">
      <c r="D627" s="26">
        <f ca="1">IF('Raw Data'!B226 &lt;&gt; "", IF('Raw Data'!C226 =  "", NOW(), 'Raw Data'!C226), "")</f>
        <v>45712</v>
      </c>
      <c r="I627" s="30" t="str">
        <f>LEFT('Raw Data'!E143, 1)  &amp; LEFT(RIGHT('Raw Data'!E143, LEN('Raw Data'!E143) - FIND(" ", 'Raw Data'!E143)), 1)</f>
        <v>PM</v>
      </c>
    </row>
    <row r="628" spans="4:9" x14ac:dyDescent="0.35">
      <c r="D628" s="26">
        <f ca="1">IF('Raw Data'!B227 &lt;&gt; "", IF('Raw Data'!C227 =  "", NOW(), 'Raw Data'!C227), "")</f>
        <v>45715</v>
      </c>
      <c r="I628" s="30" t="str">
        <f>LEFT('Raw Data'!E144, 1)  &amp; LEFT(RIGHT('Raw Data'!E144, LEN('Raw Data'!E144) - FIND(" ", 'Raw Data'!E144)), 1)</f>
        <v>MG</v>
      </c>
    </row>
    <row r="629" spans="4:9" x14ac:dyDescent="0.35">
      <c r="D629" s="26">
        <f ca="1">IF('Raw Data'!B228 &lt;&gt; "", IF('Raw Data'!C228 =  "", NOW(), 'Raw Data'!C228), "")</f>
        <v>45715</v>
      </c>
      <c r="I629" s="30" t="str">
        <f>LEFT('Raw Data'!E145, 1)  &amp; LEFT(RIGHT('Raw Data'!E145, LEN('Raw Data'!E145) - FIND(" ", 'Raw Data'!E145)), 1)</f>
        <v>MW</v>
      </c>
    </row>
    <row r="630" spans="4:9" x14ac:dyDescent="0.35">
      <c r="D630" s="26">
        <f ca="1">IF('Raw Data'!B229 &lt;&gt; "", IF('Raw Data'!C229 =  "", NOW(), 'Raw Data'!C229), "")</f>
        <v>45718</v>
      </c>
      <c r="I630" s="30" t="str">
        <f>LEFT('Raw Data'!E146, 1)  &amp; LEFT(RIGHT('Raw Data'!E146, LEN('Raw Data'!E146) - FIND(" ", 'Raw Data'!E146)), 1)</f>
        <v>PR</v>
      </c>
    </row>
    <row r="631" spans="4:9" x14ac:dyDescent="0.35">
      <c r="D631" s="26">
        <f ca="1">IF('Raw Data'!B230 &lt;&gt; "", IF('Raw Data'!C230 =  "", NOW(), 'Raw Data'!C230), "")</f>
        <v>45720</v>
      </c>
      <c r="I631" s="30" t="str">
        <f>LEFT('Raw Data'!E147, 1)  &amp; LEFT(RIGHT('Raw Data'!E147, LEN('Raw Data'!E147) - FIND(" ", 'Raw Data'!E147)), 1)</f>
        <v>PB</v>
      </c>
    </row>
    <row r="632" spans="4:9" x14ac:dyDescent="0.35">
      <c r="D632" s="26">
        <f ca="1">IF('Raw Data'!B231 &lt;&gt; "", IF('Raw Data'!C231 =  "", NOW(), 'Raw Data'!C231), "")</f>
        <v>45721</v>
      </c>
      <c r="I632" s="30" t="str">
        <f>LEFT('Raw Data'!E148, 1)  &amp; LEFT(RIGHT('Raw Data'!E148, LEN('Raw Data'!E148) - FIND(" ", 'Raw Data'!E148)), 1)</f>
        <v>PM</v>
      </c>
    </row>
    <row r="633" spans="4:9" x14ac:dyDescent="0.35">
      <c r="D633" s="26">
        <f ca="1">IF('Raw Data'!B232 &lt;&gt; "", IF('Raw Data'!C232 =  "", NOW(), 'Raw Data'!C232), "")</f>
        <v>45723</v>
      </c>
      <c r="I633" s="30" t="str">
        <f>LEFT('Raw Data'!E149, 1)  &amp; LEFT(RIGHT('Raw Data'!E149, LEN('Raw Data'!E149) - FIND(" ", 'Raw Data'!E149)), 1)</f>
        <v>SD</v>
      </c>
    </row>
    <row r="634" spans="4:9" x14ac:dyDescent="0.35">
      <c r="D634" s="26">
        <f ca="1">IF('Raw Data'!B233 &lt;&gt; "", IF('Raw Data'!C233 =  "", NOW(), 'Raw Data'!C233), "")</f>
        <v>45723</v>
      </c>
      <c r="I634" s="30" t="str">
        <f>LEFT('Raw Data'!E150, 1)  &amp; LEFT(RIGHT('Raw Data'!E150, LEN('Raw Data'!E150) - FIND(" ", 'Raw Data'!E150)), 1)</f>
        <v>GA</v>
      </c>
    </row>
    <row r="635" spans="4:9" x14ac:dyDescent="0.35">
      <c r="D635" s="26">
        <f ca="1">IF('Raw Data'!B234 &lt;&gt; "", IF('Raw Data'!C234 =  "", NOW(), 'Raw Data'!C234), "")</f>
        <v>45724</v>
      </c>
      <c r="I635" s="30" t="str">
        <f>LEFT('Raw Data'!E151, 1)  &amp; LEFT(RIGHT('Raw Data'!E151, LEN('Raw Data'!E151) - FIND(" ", 'Raw Data'!E151)), 1)</f>
        <v>SP</v>
      </c>
    </row>
    <row r="636" spans="4:9" x14ac:dyDescent="0.35">
      <c r="D636" s="26">
        <f ca="1">IF('Raw Data'!B235 &lt;&gt; "", IF('Raw Data'!C235 =  "", NOW(), 'Raw Data'!C235), "")</f>
        <v>45724</v>
      </c>
      <c r="I636" s="30" t="str">
        <f>LEFT('Raw Data'!E152, 1)  &amp; LEFT(RIGHT('Raw Data'!E152, LEN('Raw Data'!E152) - FIND(" ", 'Raw Data'!E152)), 1)</f>
        <v>MC</v>
      </c>
    </row>
    <row r="637" spans="4:9" x14ac:dyDescent="0.35">
      <c r="D637" s="26">
        <f ca="1">IF('Raw Data'!B236 &lt;&gt; "", IF('Raw Data'!C236 =  "", NOW(), 'Raw Data'!C236), "")</f>
        <v>45724</v>
      </c>
      <c r="I637" s="30" t="str">
        <f>LEFT('Raw Data'!E153, 1)  &amp; LEFT(RIGHT('Raw Data'!E153, LEN('Raw Data'!E153) - FIND(" ", 'Raw Data'!E153)), 1)</f>
        <v>EM</v>
      </c>
    </row>
    <row r="638" spans="4:9" x14ac:dyDescent="0.35">
      <c r="D638" s="26">
        <f ca="1">IF('Raw Data'!B237 &lt;&gt; "", IF('Raw Data'!C237 =  "", NOW(), 'Raw Data'!C237), "")</f>
        <v>45726</v>
      </c>
      <c r="I638" s="30" t="str">
        <f>LEFT('Raw Data'!E154, 1)  &amp; LEFT(RIGHT('Raw Data'!E154, LEN('Raw Data'!E154) - FIND(" ", 'Raw Data'!E154)), 1)</f>
        <v>FT</v>
      </c>
    </row>
    <row r="639" spans="4:9" x14ac:dyDescent="0.35">
      <c r="D639" s="26">
        <f ca="1">IF('Raw Data'!B238 &lt;&gt; "", IF('Raw Data'!C238 =  "", NOW(), 'Raw Data'!C238), "")</f>
        <v>45734</v>
      </c>
      <c r="I639" s="30" t="str">
        <f>LEFT('Raw Data'!E155, 1)  &amp; LEFT(RIGHT('Raw Data'!E155, LEN('Raw Data'!E155) - FIND(" ", 'Raw Data'!E155)), 1)</f>
        <v>SD</v>
      </c>
    </row>
    <row r="640" spans="4:9" x14ac:dyDescent="0.35">
      <c r="D640" s="26">
        <f ca="1">IF('Raw Data'!B239 &lt;&gt; "", IF('Raw Data'!C239 =  "", NOW(), 'Raw Data'!C239), "")</f>
        <v>45737</v>
      </c>
      <c r="I640" s="30" t="str">
        <f>LEFT('Raw Data'!E156, 1)  &amp; LEFT(RIGHT('Raw Data'!E156, LEN('Raw Data'!E156) - FIND(" ", 'Raw Data'!E156)), 1)</f>
        <v>DW</v>
      </c>
    </row>
    <row r="641" spans="4:9" x14ac:dyDescent="0.35">
      <c r="D641" s="26">
        <f ca="1">IF('Raw Data'!B240 &lt;&gt; "", IF('Raw Data'!C240 =  "", NOW(), 'Raw Data'!C240), "")</f>
        <v>45737</v>
      </c>
      <c r="I641" s="30" t="str">
        <f>LEFT('Raw Data'!E157, 1)  &amp; LEFT(RIGHT('Raw Data'!E157, LEN('Raw Data'!E157) - FIND(" ", 'Raw Data'!E157)), 1)</f>
        <v>LM</v>
      </c>
    </row>
    <row r="642" spans="4:9" x14ac:dyDescent="0.35">
      <c r="D642" s="26">
        <f ca="1">IF('Raw Data'!B241 &lt;&gt; "", IF('Raw Data'!C241 =  "", NOW(), 'Raw Data'!C241), "")</f>
        <v>45737</v>
      </c>
      <c r="I642" s="30" t="str">
        <f>LEFT('Raw Data'!E158, 1)  &amp; LEFT(RIGHT('Raw Data'!E158, LEN('Raw Data'!E158) - FIND(" ", 'Raw Data'!E158)), 1)</f>
        <v>KS</v>
      </c>
    </row>
    <row r="643" spans="4:9" x14ac:dyDescent="0.35">
      <c r="D643" s="26">
        <f ca="1">IF('Raw Data'!B242 &lt;&gt; "", IF('Raw Data'!C242 =  "", NOW(), 'Raw Data'!C242), "")</f>
        <v>45739</v>
      </c>
      <c r="I643" s="30" t="str">
        <f>LEFT('Raw Data'!E159, 1)  &amp; LEFT(RIGHT('Raw Data'!E159, LEN('Raw Data'!E159) - FIND(" ", 'Raw Data'!E159)), 1)</f>
        <v>CA</v>
      </c>
    </row>
    <row r="644" spans="4:9" x14ac:dyDescent="0.35">
      <c r="D644" s="26">
        <f ca="1">IF('Raw Data'!B243 &lt;&gt; "", IF('Raw Data'!C243 =  "", NOW(), 'Raw Data'!C243), "")</f>
        <v>45740</v>
      </c>
      <c r="I644" s="30" t="str">
        <f>LEFT('Raw Data'!E160, 1)  &amp; LEFT(RIGHT('Raw Data'!E160, LEN('Raw Data'!E160) - FIND(" ", 'Raw Data'!E160)), 1)</f>
        <v>JJ</v>
      </c>
    </row>
    <row r="645" spans="4:9" x14ac:dyDescent="0.35">
      <c r="D645" s="26">
        <f ca="1">IF('Raw Data'!B244 &lt;&gt; "", IF('Raw Data'!C244 =  "", NOW(), 'Raw Data'!C244), "")</f>
        <v>45743</v>
      </c>
      <c r="I645" s="30" t="str">
        <f>LEFT('Raw Data'!E161, 1)  &amp; LEFT(RIGHT('Raw Data'!E161, LEN('Raw Data'!E161) - FIND(" ", 'Raw Data'!E161)), 1)</f>
        <v>MC</v>
      </c>
    </row>
    <row r="646" spans="4:9" x14ac:dyDescent="0.35">
      <c r="D646" s="26">
        <f ca="1">IF('Raw Data'!B245 &lt;&gt; "", IF('Raw Data'!C245 =  "", NOW(), 'Raw Data'!C245), "")</f>
        <v>45745</v>
      </c>
      <c r="I646" s="30" t="str">
        <f>LEFT('Raw Data'!E162, 1)  &amp; LEFT(RIGHT('Raw Data'!E162, LEN('Raw Data'!E162) - FIND(" ", 'Raw Data'!E162)), 1)</f>
        <v>WW</v>
      </c>
    </row>
    <row r="647" spans="4:9" x14ac:dyDescent="0.35">
      <c r="D647" s="26">
        <f ca="1">IF('Raw Data'!B246 &lt;&gt; "", IF('Raw Data'!C246 =  "", NOW(), 'Raw Data'!C246), "")</f>
        <v>45746</v>
      </c>
      <c r="I647" s="30" t="str">
        <f>LEFT('Raw Data'!E163, 1)  &amp; LEFT(RIGHT('Raw Data'!E163, LEN('Raw Data'!E163) - FIND(" ", 'Raw Data'!E163)), 1)</f>
        <v>DN</v>
      </c>
    </row>
    <row r="648" spans="4:9" x14ac:dyDescent="0.35">
      <c r="D648" s="26">
        <f ca="1">IF('Raw Data'!B247 &lt;&gt; "", IF('Raw Data'!C247 =  "", NOW(), 'Raw Data'!C247), "")</f>
        <v>45746</v>
      </c>
      <c r="I648" s="30" t="str">
        <f>LEFT('Raw Data'!E164, 1)  &amp; LEFT(RIGHT('Raw Data'!E164, LEN('Raw Data'!E164) - FIND(" ", 'Raw Data'!E164)), 1)</f>
        <v>NC</v>
      </c>
    </row>
    <row r="649" spans="4:9" x14ac:dyDescent="0.35">
      <c r="D649" s="26">
        <f ca="1">IF('Raw Data'!B248 &lt;&gt; "", IF('Raw Data'!C248 =  "", NOW(), 'Raw Data'!C248), "")</f>
        <v>45748</v>
      </c>
      <c r="I649" s="30" t="str">
        <f>LEFT('Raw Data'!E165, 1)  &amp; LEFT(RIGHT('Raw Data'!E165, LEN('Raw Data'!E165) - FIND(" ", 'Raw Data'!E165)), 1)</f>
        <v>JJ</v>
      </c>
    </row>
    <row r="650" spans="4:9" x14ac:dyDescent="0.35">
      <c r="D650" s="26">
        <f ca="1">IF('Raw Data'!B249 &lt;&gt; "", IF('Raw Data'!C249 =  "", NOW(), 'Raw Data'!C249), "")</f>
        <v>45749</v>
      </c>
      <c r="I650" s="30" t="str">
        <f>LEFT('Raw Data'!E166, 1)  &amp; LEFT(RIGHT('Raw Data'!E166, LEN('Raw Data'!E166) - FIND(" ", 'Raw Data'!E166)), 1)</f>
        <v>JT</v>
      </c>
    </row>
    <row r="651" spans="4:9" x14ac:dyDescent="0.35">
      <c r="D651" s="26">
        <f ca="1">IF('Raw Data'!B250 &lt;&gt; "", IF('Raw Data'!C250 =  "", NOW(), 'Raw Data'!C250), "")</f>
        <v>45755</v>
      </c>
      <c r="I651" s="30" t="str">
        <f>LEFT('Raw Data'!E167, 1)  &amp; LEFT(RIGHT('Raw Data'!E167, LEN('Raw Data'!E167) - FIND(" ", 'Raw Data'!E167)), 1)</f>
        <v>HR</v>
      </c>
    </row>
    <row r="652" spans="4:9" x14ac:dyDescent="0.35">
      <c r="D652" s="26">
        <f ca="1">IF('Raw Data'!B251 &lt;&gt; "", IF('Raw Data'!C251 =  "", NOW(), 'Raw Data'!C251), "")</f>
        <v>45756</v>
      </c>
      <c r="I652" s="30" t="str">
        <f>LEFT('Raw Data'!E168, 1)  &amp; LEFT(RIGHT('Raw Data'!E168, LEN('Raw Data'!E168) - FIND(" ", 'Raw Data'!E168)), 1)</f>
        <v>PR</v>
      </c>
    </row>
    <row r="653" spans="4:9" x14ac:dyDescent="0.35">
      <c r="D653" s="26">
        <f ca="1">IF('Raw Data'!B252 &lt;&gt; "", IF('Raw Data'!C252 =  "", NOW(), 'Raw Data'!C252), "")</f>
        <v>45758</v>
      </c>
      <c r="I653" s="30" t="str">
        <f>LEFT('Raw Data'!E169, 1)  &amp; LEFT(RIGHT('Raw Data'!E169, LEN('Raw Data'!E169) - FIND(" ", 'Raw Data'!E169)), 1)</f>
        <v>DM</v>
      </c>
    </row>
    <row r="654" spans="4:9" x14ac:dyDescent="0.35">
      <c r="D654" s="26">
        <f ca="1">IF('Raw Data'!B253 &lt;&gt; "", IF('Raw Data'!C253 =  "", NOW(), 'Raw Data'!C253), "")</f>
        <v>45758</v>
      </c>
      <c r="I654" s="30" t="str">
        <f>LEFT('Raw Data'!E170, 1)  &amp; LEFT(RIGHT('Raw Data'!E170, LEN('Raw Data'!E170) - FIND(" ", 'Raw Data'!E170)), 1)</f>
        <v>ST</v>
      </c>
    </row>
    <row r="655" spans="4:9" x14ac:dyDescent="0.35">
      <c r="D655" s="26">
        <f ca="1">IF('Raw Data'!B254 &lt;&gt; "", IF('Raw Data'!C254 =  "", NOW(), 'Raw Data'!C254), "")</f>
        <v>45758</v>
      </c>
      <c r="I655" s="30" t="str">
        <f>LEFT('Raw Data'!E171, 1)  &amp; LEFT(RIGHT('Raw Data'!E171, LEN('Raw Data'!E171) - FIND(" ", 'Raw Data'!E171)), 1)</f>
        <v>EW</v>
      </c>
    </row>
    <row r="656" spans="4:9" x14ac:dyDescent="0.35">
      <c r="D656" s="7" t="str">
        <f ca="1">IF('Raw Data'!B255 &lt;&gt; "", IF('Raw Data'!C255 =  "", NOW(), 'Raw Data'!C255), "")</f>
        <v/>
      </c>
      <c r="I656" s="30" t="str">
        <f>LEFT('Raw Data'!E172, 1)  &amp; LEFT(RIGHT('Raw Data'!E172, LEN('Raw Data'!E172) - FIND(" ", 'Raw Data'!E172)), 1)</f>
        <v>DM</v>
      </c>
    </row>
    <row r="657" spans="4:9" x14ac:dyDescent="0.35">
      <c r="D657" s="7" t="str">
        <f ca="1">IF('Raw Data'!B256 &lt;&gt; "", IF('Raw Data'!C256 =  "", NOW(), 'Raw Data'!C256), "")</f>
        <v/>
      </c>
      <c r="I657" s="30" t="str">
        <f>LEFT('Raw Data'!E173, 1)  &amp; LEFT(RIGHT('Raw Data'!E173, LEN('Raw Data'!E173) - FIND(" ", 'Raw Data'!E173)), 1)</f>
        <v>DK</v>
      </c>
    </row>
    <row r="658" spans="4:9" x14ac:dyDescent="0.35">
      <c r="D658" s="7" t="str">
        <f ca="1">IF('Raw Data'!B257 &lt;&gt; "", IF('Raw Data'!C257 =  "", NOW(), 'Raw Data'!C257), "")</f>
        <v/>
      </c>
      <c r="I658" s="30" t="str">
        <f>LEFT('Raw Data'!E174, 1)  &amp; LEFT(RIGHT('Raw Data'!E174, LEN('Raw Data'!E174) - FIND(" ", 'Raw Data'!E174)), 1)</f>
        <v>MB</v>
      </c>
    </row>
    <row r="659" spans="4:9" x14ac:dyDescent="0.35">
      <c r="D659" s="7" t="str">
        <f ca="1">IF('Raw Data'!B258 &lt;&gt; "", IF('Raw Data'!C258 =  "", NOW(), 'Raw Data'!C258), "")</f>
        <v/>
      </c>
      <c r="I659" s="30" t="str">
        <f>LEFT('Raw Data'!E175, 1)  &amp; LEFT(RIGHT('Raw Data'!E175, LEN('Raw Data'!E175) - FIND(" ", 'Raw Data'!E175)), 1)</f>
        <v>LM</v>
      </c>
    </row>
    <row r="660" spans="4:9" x14ac:dyDescent="0.35">
      <c r="D660" s="7" t="str">
        <f ca="1">IF('Raw Data'!B259 &lt;&gt; "", IF('Raw Data'!C259 =  "", NOW(), 'Raw Data'!C259), "")</f>
        <v/>
      </c>
      <c r="I660" s="30" t="str">
        <f>LEFT('Raw Data'!E176, 1)  &amp; LEFT(RIGHT('Raw Data'!E176, LEN('Raw Data'!E176) - FIND(" ", 'Raw Data'!E176)), 1)</f>
        <v>DM</v>
      </c>
    </row>
    <row r="661" spans="4:9" x14ac:dyDescent="0.35">
      <c r="D661" s="7" t="str">
        <f ca="1">IF('Raw Data'!B260 &lt;&gt; "", IF('Raw Data'!C260 =  "", NOW(), 'Raw Data'!C260), "")</f>
        <v/>
      </c>
      <c r="I661" s="30" t="str">
        <f>LEFT('Raw Data'!E177, 1)  &amp; LEFT(RIGHT('Raw Data'!E177, LEN('Raw Data'!E177) - FIND(" ", 'Raw Data'!E177)), 1)</f>
        <v>KS</v>
      </c>
    </row>
    <row r="662" spans="4:9" x14ac:dyDescent="0.35">
      <c r="D662" s="7" t="str">
        <f ca="1">IF('Raw Data'!B261 &lt;&gt; "", IF('Raw Data'!C261 =  "", NOW(), 'Raw Data'!C261), "")</f>
        <v/>
      </c>
      <c r="I662" s="30" t="str">
        <f>LEFT('Raw Data'!E178, 1)  &amp; LEFT(RIGHT('Raw Data'!E178, LEN('Raw Data'!E178) - FIND(" ", 'Raw Data'!E178)), 1)</f>
        <v>MB</v>
      </c>
    </row>
    <row r="663" spans="4:9" x14ac:dyDescent="0.35">
      <c r="D663" s="7" t="str">
        <f ca="1">IF('Raw Data'!B262 &lt;&gt; "", IF('Raw Data'!C262 =  "", NOW(), 'Raw Data'!C262), "")</f>
        <v/>
      </c>
      <c r="I663" s="30" t="str">
        <f>LEFT('Raw Data'!E179, 1)  &amp; LEFT(RIGHT('Raw Data'!E179, LEN('Raw Data'!E179) - FIND(" ", 'Raw Data'!E179)), 1)</f>
        <v>HR</v>
      </c>
    </row>
    <row r="664" spans="4:9" x14ac:dyDescent="0.35">
      <c r="D664" s="7" t="str">
        <f ca="1">IF('Raw Data'!B263 &lt;&gt; "", IF('Raw Data'!C263 =  "", NOW(), 'Raw Data'!C263), "")</f>
        <v/>
      </c>
      <c r="I664" s="30" t="str">
        <f>LEFT('Raw Data'!E180, 1)  &amp; LEFT(RIGHT('Raw Data'!E180, LEN('Raw Data'!E180) - FIND(" ", 'Raw Data'!E180)), 1)</f>
        <v>RT</v>
      </c>
    </row>
    <row r="665" spans="4:9" x14ac:dyDescent="0.35">
      <c r="D665" s="7" t="str">
        <f ca="1">IF('Raw Data'!B264 &lt;&gt; "", IF('Raw Data'!C264 =  "", NOW(), 'Raw Data'!C264), "")</f>
        <v/>
      </c>
      <c r="I665" s="30" t="str">
        <f>LEFT('Raw Data'!E181, 1)  &amp; LEFT(RIGHT('Raw Data'!E181, LEN('Raw Data'!E181) - FIND(" ", 'Raw Data'!E181)), 1)</f>
        <v>NC</v>
      </c>
    </row>
    <row r="666" spans="4:9" x14ac:dyDescent="0.35">
      <c r="D666" s="7" t="str">
        <f ca="1">IF('Raw Data'!B265 &lt;&gt; "", IF('Raw Data'!C265 =  "", NOW(), 'Raw Data'!C265), "")</f>
        <v/>
      </c>
      <c r="I666" s="30" t="str">
        <f>LEFT('Raw Data'!E182, 1)  &amp; LEFT(RIGHT('Raw Data'!E182, LEN('Raw Data'!E182) - FIND(" ", 'Raw Data'!E182)), 1)</f>
        <v>MC</v>
      </c>
    </row>
    <row r="667" spans="4:9" x14ac:dyDescent="0.35">
      <c r="D667" s="7" t="str">
        <f ca="1">IF('Raw Data'!B266 &lt;&gt; "", IF('Raw Data'!C266 =  "", NOW(), 'Raw Data'!C266), "")</f>
        <v/>
      </c>
      <c r="I667" s="30" t="str">
        <f>LEFT('Raw Data'!E183, 1)  &amp; LEFT(RIGHT('Raw Data'!E183, LEN('Raw Data'!E183) - FIND(" ", 'Raw Data'!E183)), 1)</f>
        <v>DK</v>
      </c>
    </row>
    <row r="668" spans="4:9" x14ac:dyDescent="0.35">
      <c r="D668" s="7" t="str">
        <f ca="1">IF('Raw Data'!B267 &lt;&gt; "", IF('Raw Data'!C267 =  "", NOW(), 'Raw Data'!C267), "")</f>
        <v/>
      </c>
      <c r="I668" s="30" t="str">
        <f>LEFT('Raw Data'!E184, 1)  &amp; LEFT(RIGHT('Raw Data'!E184, LEN('Raw Data'!E184) - FIND(" ", 'Raw Data'!E184)), 1)</f>
        <v>AE</v>
      </c>
    </row>
    <row r="669" spans="4:9" x14ac:dyDescent="0.35">
      <c r="D669" s="7" t="str">
        <f ca="1">IF('Raw Data'!B268 &lt;&gt; "", IF('Raw Data'!C268 =  "", NOW(), 'Raw Data'!C268), "")</f>
        <v/>
      </c>
      <c r="I669" s="30" t="str">
        <f>LEFT('Raw Data'!E185, 1)  &amp; LEFT(RIGHT('Raw Data'!E185, LEN('Raw Data'!E185) - FIND(" ", 'Raw Data'!E185)), 1)</f>
        <v>LA</v>
      </c>
    </row>
    <row r="670" spans="4:9" x14ac:dyDescent="0.35">
      <c r="D670" s="7" t="str">
        <f ca="1">IF('Raw Data'!B269 &lt;&gt; "", IF('Raw Data'!C269 =  "", NOW(), 'Raw Data'!C269), "")</f>
        <v/>
      </c>
      <c r="I670" s="30" t="str">
        <f>LEFT('Raw Data'!E186, 1)  &amp; LEFT(RIGHT('Raw Data'!E186, LEN('Raw Data'!E186) - FIND(" ", 'Raw Data'!E186)), 1)</f>
        <v>MB</v>
      </c>
    </row>
    <row r="671" spans="4:9" x14ac:dyDescent="0.35">
      <c r="D671" s="7" t="str">
        <f ca="1">IF('Raw Data'!B270 &lt;&gt; "", IF('Raw Data'!C270 =  "", NOW(), 'Raw Data'!C270), "")</f>
        <v/>
      </c>
      <c r="I671" s="30" t="str">
        <f>LEFT('Raw Data'!E187, 1)  &amp; LEFT(RIGHT('Raw Data'!E187, LEN('Raw Data'!E187) - FIND(" ", 'Raw Data'!E187)), 1)</f>
        <v>KH</v>
      </c>
    </row>
    <row r="672" spans="4:9" x14ac:dyDescent="0.35">
      <c r="D672" s="7" t="str">
        <f ca="1">IF('Raw Data'!B271 &lt;&gt; "", IF('Raw Data'!C271 =  "", NOW(), 'Raw Data'!C271), "")</f>
        <v/>
      </c>
      <c r="I672" s="30" t="str">
        <f>LEFT('Raw Data'!E188, 1)  &amp; LEFT(RIGHT('Raw Data'!E188, LEN('Raw Data'!E188) - FIND(" ", 'Raw Data'!E188)), 1)</f>
        <v>NC</v>
      </c>
    </row>
    <row r="673" spans="4:9" x14ac:dyDescent="0.35">
      <c r="D673" s="7" t="str">
        <f ca="1">IF('Raw Data'!B272 &lt;&gt; "", IF('Raw Data'!C272 =  "", NOW(), 'Raw Data'!C272), "")</f>
        <v/>
      </c>
      <c r="I673" s="30" t="str">
        <f>LEFT('Raw Data'!E189, 1)  &amp; LEFT(RIGHT('Raw Data'!E189, LEN('Raw Data'!E189) - FIND(" ", 'Raw Data'!E189)), 1)</f>
        <v>VS</v>
      </c>
    </row>
    <row r="674" spans="4:9" x14ac:dyDescent="0.35">
      <c r="D674" s="7" t="str">
        <f ca="1">IF('Raw Data'!B273 &lt;&gt; "", IF('Raw Data'!C273 =  "", NOW(), 'Raw Data'!C273), "")</f>
        <v/>
      </c>
      <c r="I674" s="30" t="str">
        <f>LEFT('Raw Data'!E190, 1)  &amp; LEFT(RIGHT('Raw Data'!E190, LEN('Raw Data'!E190) - FIND(" ", 'Raw Data'!E190)), 1)</f>
        <v>ST</v>
      </c>
    </row>
    <row r="675" spans="4:9" x14ac:dyDescent="0.35">
      <c r="D675" s="7" t="str">
        <f ca="1">IF('Raw Data'!B274 &lt;&gt; "", IF('Raw Data'!C274 =  "", NOW(), 'Raw Data'!C274), "")</f>
        <v/>
      </c>
      <c r="I675" s="30" t="str">
        <f>LEFT('Raw Data'!E191, 1)  &amp; LEFT(RIGHT('Raw Data'!E191, LEN('Raw Data'!E191) - FIND(" ", 'Raw Data'!E191)), 1)</f>
        <v>MR</v>
      </c>
    </row>
    <row r="676" spans="4:9" x14ac:dyDescent="0.35">
      <c r="D676" s="7" t="str">
        <f ca="1">IF('Raw Data'!B275 &lt;&gt; "", IF('Raw Data'!C275 =  "", NOW(), 'Raw Data'!C275), "")</f>
        <v/>
      </c>
      <c r="I676" s="30" t="str">
        <f>LEFT('Raw Data'!E192, 1)  &amp; LEFT(RIGHT('Raw Data'!E192, LEN('Raw Data'!E192) - FIND(" ", 'Raw Data'!E192)), 1)</f>
        <v>DW</v>
      </c>
    </row>
    <row r="677" spans="4:9" x14ac:dyDescent="0.35">
      <c r="D677" s="7" t="str">
        <f ca="1">IF('Raw Data'!B276 &lt;&gt; "", IF('Raw Data'!C276 =  "", NOW(), 'Raw Data'!C276), "")</f>
        <v/>
      </c>
      <c r="I677" s="30" t="str">
        <f>LEFT('Raw Data'!E193, 1)  &amp; LEFT(RIGHT('Raw Data'!E193, LEN('Raw Data'!E193) - FIND(" ", 'Raw Data'!E193)), 1)</f>
        <v>MC</v>
      </c>
    </row>
    <row r="678" spans="4:9" x14ac:dyDescent="0.35">
      <c r="D678" s="7" t="str">
        <f ca="1">IF('Raw Data'!B277 &lt;&gt; "", IF('Raw Data'!C277 =  "", NOW(), 'Raw Data'!C277), "")</f>
        <v/>
      </c>
      <c r="I678" s="30" t="str">
        <f>LEFT('Raw Data'!E194, 1)  &amp; LEFT(RIGHT('Raw Data'!E194, LEN('Raw Data'!E194) - FIND(" ", 'Raw Data'!E194)), 1)</f>
        <v>BC</v>
      </c>
    </row>
    <row r="679" spans="4:9" x14ac:dyDescent="0.35">
      <c r="D679" s="7" t="str">
        <f ca="1">IF('Raw Data'!B278 &lt;&gt; "", IF('Raw Data'!C278 =  "", NOW(), 'Raw Data'!C278), "")</f>
        <v/>
      </c>
      <c r="I679" s="30" t="str">
        <f>LEFT('Raw Data'!E195, 1)  &amp; LEFT(RIGHT('Raw Data'!E195, LEN('Raw Data'!E195) - FIND(" ", 'Raw Data'!E195)), 1)</f>
        <v>HR</v>
      </c>
    </row>
    <row r="680" spans="4:9" x14ac:dyDescent="0.35">
      <c r="D680" s="7" t="str">
        <f ca="1">IF('Raw Data'!B279 &lt;&gt; "", IF('Raw Data'!C279 =  "", NOW(), 'Raw Data'!C279), "")</f>
        <v/>
      </c>
      <c r="I680" s="30" t="str">
        <f>LEFT('Raw Data'!E196, 1)  &amp; LEFT(RIGHT('Raw Data'!E196, LEN('Raw Data'!E196) - FIND(" ", 'Raw Data'!E196)), 1)</f>
        <v>SP</v>
      </c>
    </row>
    <row r="681" spans="4:9" x14ac:dyDescent="0.35">
      <c r="D681" s="7" t="str">
        <f ca="1">IF('Raw Data'!B280 &lt;&gt; "", IF('Raw Data'!C280 =  "", NOW(), 'Raw Data'!C280), "")</f>
        <v/>
      </c>
      <c r="I681" s="30" t="str">
        <f>LEFT('Raw Data'!E197, 1)  &amp; LEFT(RIGHT('Raw Data'!E197, LEN('Raw Data'!E197) - FIND(" ", 'Raw Data'!E197)), 1)</f>
        <v>LR</v>
      </c>
    </row>
    <row r="682" spans="4:9" x14ac:dyDescent="0.35">
      <c r="D682" s="7" t="str">
        <f ca="1">IF('Raw Data'!B281 &lt;&gt; "", IF('Raw Data'!C281 =  "", NOW(), 'Raw Data'!C281), "")</f>
        <v/>
      </c>
      <c r="I682" s="30" t="str">
        <f>LEFT('Raw Data'!E198, 1)  &amp; LEFT(RIGHT('Raw Data'!E198, LEN('Raw Data'!E198) - FIND(" ", 'Raw Data'!E198)), 1)</f>
        <v>EH</v>
      </c>
    </row>
    <row r="683" spans="4:9" x14ac:dyDescent="0.35">
      <c r="D683" s="7" t="str">
        <f ca="1">IF('Raw Data'!B282 &lt;&gt; "", IF('Raw Data'!C282 =  "", NOW(), 'Raw Data'!C282), "")</f>
        <v/>
      </c>
      <c r="I683" s="30" t="str">
        <f>LEFT('Raw Data'!E199, 1)  &amp; LEFT(RIGHT('Raw Data'!E199, LEN('Raw Data'!E199) - FIND(" ", 'Raw Data'!E199)), 1)</f>
        <v>RT</v>
      </c>
    </row>
    <row r="684" spans="4:9" x14ac:dyDescent="0.35">
      <c r="D684" s="7" t="str">
        <f ca="1">IF('Raw Data'!B283 &lt;&gt; "", IF('Raw Data'!C283 =  "", NOW(), 'Raw Data'!C283), "")</f>
        <v/>
      </c>
      <c r="I684" s="30" t="str">
        <f>LEFT('Raw Data'!E200, 1)  &amp; LEFT(RIGHT('Raw Data'!E200, LEN('Raw Data'!E200) - FIND(" ", 'Raw Data'!E200)), 1)</f>
        <v>LA</v>
      </c>
    </row>
    <row r="685" spans="4:9" x14ac:dyDescent="0.35">
      <c r="D685" s="7" t="str">
        <f ca="1">IF('Raw Data'!B284 &lt;&gt; "", IF('Raw Data'!C284 =  "", NOW(), 'Raw Data'!C284), "")</f>
        <v/>
      </c>
      <c r="I685" s="30" t="str">
        <f>LEFT('Raw Data'!E201, 1)  &amp; LEFT(RIGHT('Raw Data'!E201, LEN('Raw Data'!E201) - FIND(" ", 'Raw Data'!E201)), 1)</f>
        <v>SG</v>
      </c>
    </row>
    <row r="686" spans="4:9" x14ac:dyDescent="0.35">
      <c r="D686" s="7" t="str">
        <f ca="1">IF('Raw Data'!B285 &lt;&gt; "", IF('Raw Data'!C285 =  "", NOW(), 'Raw Data'!C285), "")</f>
        <v/>
      </c>
      <c r="I686" s="30" t="str">
        <f>LEFT('Raw Data'!E202, 1)  &amp; LEFT(RIGHT('Raw Data'!E202, LEN('Raw Data'!E202) - FIND(" ", 'Raw Data'!E202)), 1)</f>
        <v>DN</v>
      </c>
    </row>
    <row r="687" spans="4:9" x14ac:dyDescent="0.35">
      <c r="D687" s="7" t="str">
        <f ca="1">IF('Raw Data'!B286 &lt;&gt; "", IF('Raw Data'!C286 =  "", NOW(), 'Raw Data'!C286), "")</f>
        <v/>
      </c>
      <c r="I687" s="30" t="str">
        <f>LEFT('Raw Data'!E203, 1)  &amp; LEFT(RIGHT('Raw Data'!E203, LEN('Raw Data'!E203) - FIND(" ", 'Raw Data'!E203)), 1)</f>
        <v>WW</v>
      </c>
    </row>
    <row r="688" spans="4:9" x14ac:dyDescent="0.35">
      <c r="D688" s="7" t="str">
        <f ca="1">IF('Raw Data'!B287 &lt;&gt; "", IF('Raw Data'!C287 =  "", NOW(), 'Raw Data'!C287), "")</f>
        <v/>
      </c>
      <c r="I688" s="30" t="str">
        <f>LEFT('Raw Data'!E204, 1)  &amp; LEFT(RIGHT('Raw Data'!E204, LEN('Raw Data'!E204) - FIND(" ", 'Raw Data'!E204)), 1)</f>
        <v>MC</v>
      </c>
    </row>
    <row r="689" spans="4:9" x14ac:dyDescent="0.35">
      <c r="D689" s="7" t="str">
        <f ca="1">IF('Raw Data'!B288 &lt;&gt; "", IF('Raw Data'!C288 =  "", NOW(), 'Raw Data'!C288), "")</f>
        <v/>
      </c>
      <c r="I689" s="30" t="str">
        <f>LEFT('Raw Data'!E205, 1)  &amp; LEFT(RIGHT('Raw Data'!E205, LEN('Raw Data'!E205) - FIND(" ", 'Raw Data'!E205)), 1)</f>
        <v>DW</v>
      </c>
    </row>
    <row r="690" spans="4:9" x14ac:dyDescent="0.35">
      <c r="D690" s="7" t="str">
        <f ca="1">IF('Raw Data'!B289 &lt;&gt; "", IF('Raw Data'!C289 =  "", NOW(), 'Raw Data'!C289), "")</f>
        <v/>
      </c>
      <c r="I690" s="30" t="str">
        <f>LEFT('Raw Data'!E206, 1)  &amp; LEFT(RIGHT('Raw Data'!E206, LEN('Raw Data'!E206) - FIND(" ", 'Raw Data'!E206)), 1)</f>
        <v>KH</v>
      </c>
    </row>
    <row r="691" spans="4:9" x14ac:dyDescent="0.35">
      <c r="D691" s="7" t="str">
        <f ca="1">IF('Raw Data'!B290 &lt;&gt; "", IF('Raw Data'!C290 =  "", NOW(), 'Raw Data'!C290), "")</f>
        <v/>
      </c>
      <c r="I691" s="30" t="str">
        <f>LEFT('Raw Data'!E207, 1)  &amp; LEFT(RIGHT('Raw Data'!E207, LEN('Raw Data'!E207) - FIND(" ", 'Raw Data'!E207)), 1)</f>
        <v>EM</v>
      </c>
    </row>
    <row r="692" spans="4:9" x14ac:dyDescent="0.35">
      <c r="D692" s="7" t="str">
        <f ca="1">IF('Raw Data'!B291 &lt;&gt; "", IF('Raw Data'!C291 =  "", NOW(), 'Raw Data'!C291), "")</f>
        <v/>
      </c>
      <c r="I692" s="30" t="str">
        <f>LEFT('Raw Data'!E208, 1)  &amp; LEFT(RIGHT('Raw Data'!E208, LEN('Raw Data'!E208) - FIND(" ", 'Raw Data'!E208)), 1)</f>
        <v>MB</v>
      </c>
    </row>
    <row r="693" spans="4:9" x14ac:dyDescent="0.35">
      <c r="D693" s="7" t="str">
        <f ca="1">IF('Raw Data'!B292 &lt;&gt; "", IF('Raw Data'!C292 =  "", NOW(), 'Raw Data'!C292), "")</f>
        <v/>
      </c>
      <c r="I693" s="30" t="str">
        <f>LEFT('Raw Data'!E209, 1)  &amp; LEFT(RIGHT('Raw Data'!E209, LEN('Raw Data'!E209) - FIND(" ", 'Raw Data'!E209)), 1)</f>
        <v>AE</v>
      </c>
    </row>
    <row r="694" spans="4:9" x14ac:dyDescent="0.35">
      <c r="D694" s="7" t="str">
        <f ca="1">IF('Raw Data'!B293 &lt;&gt; "", IF('Raw Data'!C293 =  "", NOW(), 'Raw Data'!C293), "")</f>
        <v/>
      </c>
      <c r="I694" s="30" t="str">
        <f>LEFT('Raw Data'!E210, 1)  &amp; LEFT(RIGHT('Raw Data'!E210, LEN('Raw Data'!E210) - FIND(" ", 'Raw Data'!E210)), 1)</f>
        <v>RB</v>
      </c>
    </row>
    <row r="695" spans="4:9" x14ac:dyDescent="0.35">
      <c r="D695" s="7" t="str">
        <f ca="1">IF('Raw Data'!B294 &lt;&gt; "", IF('Raw Data'!C294 =  "", NOW(), 'Raw Data'!C294), "")</f>
        <v/>
      </c>
      <c r="I695" s="30" t="str">
        <f>LEFT('Raw Data'!E211, 1)  &amp; LEFT(RIGHT('Raw Data'!E211, LEN('Raw Data'!E211) - FIND(" ", 'Raw Data'!E211)), 1)</f>
        <v>VS</v>
      </c>
    </row>
    <row r="696" spans="4:9" x14ac:dyDescent="0.35">
      <c r="D696" s="7" t="str">
        <f ca="1">IF('Raw Data'!B295 &lt;&gt; "", IF('Raw Data'!C295 =  "", NOW(), 'Raw Data'!C295), "")</f>
        <v/>
      </c>
      <c r="I696" s="30" t="str">
        <f>LEFT('Raw Data'!E212, 1)  &amp; LEFT(RIGHT('Raw Data'!E212, LEN('Raw Data'!E212) - FIND(" ", 'Raw Data'!E212)), 1)</f>
        <v>SB</v>
      </c>
    </row>
    <row r="697" spans="4:9" x14ac:dyDescent="0.35">
      <c r="D697" s="7" t="str">
        <f ca="1">IF('Raw Data'!B296 &lt;&gt; "", IF('Raw Data'!C296 =  "", NOW(), 'Raw Data'!C296), "")</f>
        <v/>
      </c>
      <c r="I697" s="30" t="str">
        <f>LEFT('Raw Data'!E213, 1)  &amp; LEFT(RIGHT('Raw Data'!E213, LEN('Raw Data'!E213) - FIND(" ", 'Raw Data'!E213)), 1)</f>
        <v>NC</v>
      </c>
    </row>
    <row r="698" spans="4:9" x14ac:dyDescent="0.35">
      <c r="D698" s="7" t="str">
        <f ca="1">IF('Raw Data'!B297 &lt;&gt; "", IF('Raw Data'!C297 =  "", NOW(), 'Raw Data'!C297), "")</f>
        <v/>
      </c>
      <c r="I698" s="30" t="str">
        <f>LEFT('Raw Data'!E214, 1)  &amp; LEFT(RIGHT('Raw Data'!E214, LEN('Raw Data'!E214) - FIND(" ", 'Raw Data'!E214)), 1)</f>
        <v>KS</v>
      </c>
    </row>
    <row r="699" spans="4:9" x14ac:dyDescent="0.35">
      <c r="D699" s="7" t="str">
        <f ca="1">IF('Raw Data'!B298 &lt;&gt; "", IF('Raw Data'!C298 =  "", NOW(), 'Raw Data'!C298), "")</f>
        <v/>
      </c>
      <c r="I699" s="30" t="str">
        <f>LEFT('Raw Data'!E215, 1)  &amp; LEFT(RIGHT('Raw Data'!E215, LEN('Raw Data'!E215) - FIND(" ", 'Raw Data'!E215)), 1)</f>
        <v>PB</v>
      </c>
    </row>
    <row r="700" spans="4:9" x14ac:dyDescent="0.35">
      <c r="D700" s="7" t="str">
        <f ca="1">IF('Raw Data'!B299 &lt;&gt; "", IF('Raw Data'!C299 =  "", NOW(), 'Raw Data'!C299), "")</f>
        <v/>
      </c>
      <c r="I700" s="30" t="str">
        <f>LEFT('Raw Data'!E216, 1)  &amp; LEFT(RIGHT('Raw Data'!E216, LEN('Raw Data'!E216) - FIND(" ", 'Raw Data'!E216)), 1)</f>
        <v>RL</v>
      </c>
    </row>
    <row r="701" spans="4:9" x14ac:dyDescent="0.35">
      <c r="D701" s="7" t="str">
        <f ca="1">IF('Raw Data'!B300 &lt;&gt; "", IF('Raw Data'!C300 =  "", NOW(), 'Raw Data'!C300), "")</f>
        <v/>
      </c>
      <c r="I701" s="30" t="str">
        <f>LEFT('Raw Data'!E217, 1)  &amp; LEFT(RIGHT('Raw Data'!E217, LEN('Raw Data'!E217) - FIND(" ", 'Raw Data'!E217)), 1)</f>
        <v>EM</v>
      </c>
    </row>
    <row r="702" spans="4:9" x14ac:dyDescent="0.35">
      <c r="D702" s="7" t="str">
        <f ca="1">IF('Raw Data'!B301 &lt;&gt; "", IF('Raw Data'!C301 =  "", NOW(), 'Raw Data'!C301), "")</f>
        <v/>
      </c>
      <c r="I702" s="30" t="str">
        <f>LEFT('Raw Data'!E218, 1)  &amp; LEFT(RIGHT('Raw Data'!E218, LEN('Raw Data'!E218) - FIND(" ", 'Raw Data'!E218)), 1)</f>
        <v>MB</v>
      </c>
    </row>
    <row r="703" spans="4:9" x14ac:dyDescent="0.35">
      <c r="D703" s="7" t="str">
        <f ca="1">IF('Raw Data'!B302 &lt;&gt; "", IF('Raw Data'!C302 =  "", NOW(), 'Raw Data'!C302), "")</f>
        <v/>
      </c>
      <c r="I703" s="30" t="str">
        <f>LEFT('Raw Data'!E219, 1)  &amp; LEFT(RIGHT('Raw Data'!E219, LEN('Raw Data'!E219) - FIND(" ", 'Raw Data'!E219)), 1)</f>
        <v>BY</v>
      </c>
    </row>
    <row r="704" spans="4:9" x14ac:dyDescent="0.35">
      <c r="D704" s="7" t="str">
        <f ca="1">IF('Raw Data'!B303 &lt;&gt; "", IF('Raw Data'!C303 =  "", NOW(), 'Raw Data'!C303), "")</f>
        <v/>
      </c>
      <c r="I704" s="30" t="str">
        <f>LEFT('Raw Data'!E220, 1)  &amp; LEFT(RIGHT('Raw Data'!E220, LEN('Raw Data'!E220) - FIND(" ", 'Raw Data'!E220)), 1)</f>
        <v>FT</v>
      </c>
    </row>
    <row r="705" spans="4:9" x14ac:dyDescent="0.35">
      <c r="D705" s="7" t="str">
        <f ca="1">IF('Raw Data'!B304 &lt;&gt; "", IF('Raw Data'!C304 =  "", NOW(), 'Raw Data'!C304), "")</f>
        <v/>
      </c>
      <c r="I705" s="30" t="str">
        <f>LEFT('Raw Data'!E221, 1)  &amp; LEFT(RIGHT('Raw Data'!E221, LEN('Raw Data'!E221) - FIND(" ", 'Raw Data'!E221)), 1)</f>
        <v>CA</v>
      </c>
    </row>
    <row r="706" spans="4:9" x14ac:dyDescent="0.35">
      <c r="D706" s="7" t="str">
        <f ca="1">IF('Raw Data'!B305 &lt;&gt; "", IF('Raw Data'!C305 =  "", NOW(), 'Raw Data'!C305), "")</f>
        <v/>
      </c>
      <c r="I706" s="30" t="str">
        <f>LEFT('Raw Data'!E222, 1)  &amp; LEFT(RIGHT('Raw Data'!E222, LEN('Raw Data'!E222) - FIND(" ", 'Raw Data'!E222)), 1)</f>
        <v>SB</v>
      </c>
    </row>
    <row r="707" spans="4:9" x14ac:dyDescent="0.35">
      <c r="D707" s="7" t="str">
        <f ca="1">IF('Raw Data'!B306 &lt;&gt; "", IF('Raw Data'!C306 =  "", NOW(), 'Raw Data'!C306), "")</f>
        <v/>
      </c>
      <c r="I707" s="30" t="str">
        <f>LEFT('Raw Data'!E223, 1)  &amp; LEFT(RIGHT('Raw Data'!E223, LEN('Raw Data'!E223) - FIND(" ", 'Raw Data'!E223)), 1)</f>
        <v>RB</v>
      </c>
    </row>
    <row r="708" spans="4:9" x14ac:dyDescent="0.35">
      <c r="D708" s="7" t="str">
        <f ca="1">IF('Raw Data'!B307 &lt;&gt; "", IF('Raw Data'!C307 =  "", NOW(), 'Raw Data'!C307), "")</f>
        <v/>
      </c>
      <c r="I708" s="30" t="str">
        <f>LEFT('Raw Data'!E224, 1)  &amp; LEFT(RIGHT('Raw Data'!E224, LEN('Raw Data'!E224) - FIND(" ", 'Raw Data'!E224)), 1)</f>
        <v>AE</v>
      </c>
    </row>
    <row r="709" spans="4:9" x14ac:dyDescent="0.35">
      <c r="D709" s="7" t="str">
        <f ca="1">IF('Raw Data'!B308 &lt;&gt; "", IF('Raw Data'!C308 =  "", NOW(), 'Raw Data'!C308), "")</f>
        <v/>
      </c>
      <c r="I709" s="30" t="str">
        <f>LEFT('Raw Data'!E225, 1)  &amp; LEFT(RIGHT('Raw Data'!E225, LEN('Raw Data'!E225) - FIND(" ", 'Raw Data'!E225)), 1)</f>
        <v>EH</v>
      </c>
    </row>
    <row r="710" spans="4:9" x14ac:dyDescent="0.35">
      <c r="D710" s="7" t="str">
        <f ca="1">IF('Raw Data'!B309 &lt;&gt; "", IF('Raw Data'!C309 =  "", NOW(), 'Raw Data'!C309), "")</f>
        <v/>
      </c>
      <c r="I710" s="30" t="str">
        <f>LEFT('Raw Data'!E226, 1)  &amp; LEFT(RIGHT('Raw Data'!E226, LEN('Raw Data'!E226) - FIND(" ", 'Raw Data'!E226)), 1)</f>
        <v>ST</v>
      </c>
    </row>
    <row r="711" spans="4:9" x14ac:dyDescent="0.35">
      <c r="D711" s="7" t="str">
        <f ca="1">IF('Raw Data'!B310 &lt;&gt; "", IF('Raw Data'!C310 =  "", NOW(), 'Raw Data'!C310), "")</f>
        <v/>
      </c>
      <c r="I711" s="30" t="str">
        <f>LEFT('Raw Data'!E227, 1)  &amp; LEFT(RIGHT('Raw Data'!E227, LEN('Raw Data'!E227) - FIND(" ", 'Raw Data'!E227)), 1)</f>
        <v>RL</v>
      </c>
    </row>
    <row r="712" spans="4:9" x14ac:dyDescent="0.35">
      <c r="D712" s="7" t="str">
        <f ca="1">IF('Raw Data'!B311 &lt;&gt; "", IF('Raw Data'!C311 =  "", NOW(), 'Raw Data'!C311), "")</f>
        <v/>
      </c>
      <c r="I712" s="30" t="str">
        <f>LEFT('Raw Data'!E228, 1)  &amp; LEFT(RIGHT('Raw Data'!E228, LEN('Raw Data'!E228) - FIND(" ", 'Raw Data'!E228)), 1)</f>
        <v>VS</v>
      </c>
    </row>
    <row r="713" spans="4:9" x14ac:dyDescent="0.35">
      <c r="D713" s="7" t="str">
        <f ca="1">IF('Raw Data'!B312 &lt;&gt; "", IF('Raw Data'!C312 =  "", NOW(), 'Raw Data'!C312), "")</f>
        <v/>
      </c>
      <c r="I713" s="30" t="str">
        <f>LEFT('Raw Data'!E229, 1)  &amp; LEFT(RIGHT('Raw Data'!E229, LEN('Raw Data'!E229) - FIND(" ", 'Raw Data'!E229)), 1)</f>
        <v>CA</v>
      </c>
    </row>
    <row r="714" spans="4:9" x14ac:dyDescent="0.35">
      <c r="D714" s="7" t="str">
        <f ca="1">IF('Raw Data'!B313 &lt;&gt; "", IF('Raw Data'!C313 =  "", NOW(), 'Raw Data'!C313), "")</f>
        <v/>
      </c>
      <c r="I714" s="30" t="str">
        <f>LEFT('Raw Data'!E230, 1)  &amp; LEFT(RIGHT('Raw Data'!E230, LEN('Raw Data'!E230) - FIND(" ", 'Raw Data'!E230)), 1)</f>
        <v>LR</v>
      </c>
    </row>
    <row r="715" spans="4:9" x14ac:dyDescent="0.35">
      <c r="D715" s="7" t="str">
        <f ca="1">IF('Raw Data'!B314 &lt;&gt; "", IF('Raw Data'!C314 =  "", NOW(), 'Raw Data'!C314), "")</f>
        <v/>
      </c>
      <c r="I715" s="30" t="str">
        <f>LEFT('Raw Data'!E231, 1)  &amp; LEFT(RIGHT('Raw Data'!E231, LEN('Raw Data'!E231) - FIND(" ", 'Raw Data'!E231)), 1)</f>
        <v>DG</v>
      </c>
    </row>
    <row r="716" spans="4:9" x14ac:dyDescent="0.35">
      <c r="D716" s="7" t="str">
        <f ca="1">IF('Raw Data'!B315 &lt;&gt; "", IF('Raw Data'!C315 =  "", NOW(), 'Raw Data'!C315), "")</f>
        <v/>
      </c>
      <c r="I716" s="30" t="str">
        <f>LEFT('Raw Data'!E232, 1)  &amp; LEFT(RIGHT('Raw Data'!E232, LEN('Raw Data'!E232) - FIND(" ", 'Raw Data'!E232)), 1)</f>
        <v>PB</v>
      </c>
    </row>
    <row r="717" spans="4:9" x14ac:dyDescent="0.35">
      <c r="D717" s="7" t="str">
        <f ca="1">IF('Raw Data'!B316 &lt;&gt; "", IF('Raw Data'!C316 =  "", NOW(), 'Raw Data'!C316), "")</f>
        <v/>
      </c>
      <c r="I717" s="30" t="str">
        <f>LEFT('Raw Data'!E233, 1)  &amp; LEFT(RIGHT('Raw Data'!E233, LEN('Raw Data'!E233) - FIND(" ", 'Raw Data'!E233)), 1)</f>
        <v>HR</v>
      </c>
    </row>
    <row r="718" spans="4:9" x14ac:dyDescent="0.35">
      <c r="D718" s="7" t="str">
        <f ca="1">IF('Raw Data'!B317 &lt;&gt; "", IF('Raw Data'!C317 =  "", NOW(), 'Raw Data'!C317), "")</f>
        <v/>
      </c>
      <c r="I718" s="30" t="str">
        <f>LEFT('Raw Data'!E234, 1)  &amp; LEFT(RIGHT('Raw Data'!E234, LEN('Raw Data'!E234) - FIND(" ", 'Raw Data'!E234)), 1)</f>
        <v>LR</v>
      </c>
    </row>
    <row r="719" spans="4:9" x14ac:dyDescent="0.35">
      <c r="D719" s="7" t="str">
        <f ca="1">IF('Raw Data'!B318 &lt;&gt; "", IF('Raw Data'!C318 =  "", NOW(), 'Raw Data'!C318), "")</f>
        <v/>
      </c>
      <c r="I719" s="30" t="str">
        <f>LEFT('Raw Data'!E235, 1)  &amp; LEFT(RIGHT('Raw Data'!E235, LEN('Raw Data'!E235) - FIND(" ", 'Raw Data'!E235)), 1)</f>
        <v>HM</v>
      </c>
    </row>
    <row r="720" spans="4:9" x14ac:dyDescent="0.35">
      <c r="D720" s="7" t="str">
        <f ca="1">IF('Raw Data'!B319 &lt;&gt; "", IF('Raw Data'!C319 =  "", NOW(), 'Raw Data'!C319), "")</f>
        <v/>
      </c>
      <c r="I720" s="30" t="str">
        <f>LEFT('Raw Data'!E236, 1)  &amp; LEFT(RIGHT('Raw Data'!E236, LEN('Raw Data'!E236) - FIND(" ", 'Raw Data'!E236)), 1)</f>
        <v>CA</v>
      </c>
    </row>
    <row r="721" spans="4:9" x14ac:dyDescent="0.35">
      <c r="D721" s="7" t="str">
        <f ca="1">IF('Raw Data'!B320 &lt;&gt; "", IF('Raw Data'!C320 =  "", NOW(), 'Raw Data'!C320), "")</f>
        <v/>
      </c>
      <c r="I721" s="30" t="str">
        <f>LEFT('Raw Data'!E237, 1)  &amp; LEFT(RIGHT('Raw Data'!E237, LEN('Raw Data'!E237) - FIND(" ", 'Raw Data'!E237)), 1)</f>
        <v>HM</v>
      </c>
    </row>
    <row r="722" spans="4:9" x14ac:dyDescent="0.35">
      <c r="D722" s="7" t="str">
        <f ca="1">IF('Raw Data'!B321 &lt;&gt; "", IF('Raw Data'!C321 =  "", NOW(), 'Raw Data'!C321), "")</f>
        <v/>
      </c>
      <c r="I722" s="30" t="str">
        <f>LEFT('Raw Data'!E238, 1)  &amp; LEFT(RIGHT('Raw Data'!E238, LEN('Raw Data'!E238) - FIND(" ", 'Raw Data'!E238)), 1)</f>
        <v>FT</v>
      </c>
    </row>
    <row r="723" spans="4:9" x14ac:dyDescent="0.35">
      <c r="D723" s="7" t="str">
        <f ca="1">IF('Raw Data'!B322 &lt;&gt; "", IF('Raw Data'!C322 =  "", NOW(), 'Raw Data'!C322), "")</f>
        <v/>
      </c>
      <c r="I723" s="30" t="str">
        <f>LEFT('Raw Data'!E239, 1)  &amp; LEFT(RIGHT('Raw Data'!E239, LEN('Raw Data'!E239) - FIND(" ", 'Raw Data'!E239)), 1)</f>
        <v>EW</v>
      </c>
    </row>
    <row r="724" spans="4:9" x14ac:dyDescent="0.35">
      <c r="D724" s="7" t="str">
        <f ca="1">IF('Raw Data'!B323 &lt;&gt; "", IF('Raw Data'!C323 =  "", NOW(), 'Raw Data'!C323), "")</f>
        <v/>
      </c>
      <c r="I724" s="30" t="str">
        <f>LEFT('Raw Data'!E240, 1)  &amp; LEFT(RIGHT('Raw Data'!E240, LEN('Raw Data'!E240) - FIND(" ", 'Raw Data'!E240)), 1)</f>
        <v>SB</v>
      </c>
    </row>
    <row r="725" spans="4:9" x14ac:dyDescent="0.35">
      <c r="D725" s="7" t="str">
        <f ca="1">IF('Raw Data'!B324 &lt;&gt; "", IF('Raw Data'!C324 =  "", NOW(), 'Raw Data'!C324), "")</f>
        <v/>
      </c>
      <c r="I725" s="30" t="str">
        <f>LEFT('Raw Data'!E241, 1)  &amp; LEFT(RIGHT('Raw Data'!E241, LEN('Raw Data'!E241) - FIND(" ", 'Raw Data'!E241)), 1)</f>
        <v>DN</v>
      </c>
    </row>
    <row r="726" spans="4:9" x14ac:dyDescent="0.35">
      <c r="D726" s="7" t="str">
        <f ca="1">IF('Raw Data'!B325 &lt;&gt; "", IF('Raw Data'!C325 =  "", NOW(), 'Raw Data'!C325), "")</f>
        <v/>
      </c>
      <c r="I726" s="30" t="str">
        <f>LEFT('Raw Data'!E242, 1)  &amp; LEFT(RIGHT('Raw Data'!E242, LEN('Raw Data'!E242) - FIND(" ", 'Raw Data'!E242)), 1)</f>
        <v>PB</v>
      </c>
    </row>
    <row r="727" spans="4:9" x14ac:dyDescent="0.35">
      <c r="D727" s="7" t="str">
        <f ca="1">IF('Raw Data'!B326 &lt;&gt; "", IF('Raw Data'!C326 =  "", NOW(), 'Raw Data'!C326), "")</f>
        <v/>
      </c>
      <c r="I727" s="30" t="str">
        <f>LEFT('Raw Data'!E243, 1)  &amp; LEFT(RIGHT('Raw Data'!E243, LEN('Raw Data'!E243) - FIND(" ", 'Raw Data'!E243)), 1)</f>
        <v>JS</v>
      </c>
    </row>
    <row r="728" spans="4:9" x14ac:dyDescent="0.35">
      <c r="D728" s="7" t="str">
        <f ca="1">IF('Raw Data'!B327 &lt;&gt; "", IF('Raw Data'!C327 =  "", NOW(), 'Raw Data'!C327), "")</f>
        <v/>
      </c>
      <c r="I728" s="30" t="str">
        <f>LEFT('Raw Data'!E244, 1)  &amp; LEFT(RIGHT('Raw Data'!E244, LEN('Raw Data'!E244) - FIND(" ", 'Raw Data'!E244)), 1)</f>
        <v>CP</v>
      </c>
    </row>
    <row r="729" spans="4:9" x14ac:dyDescent="0.35">
      <c r="D729" s="7" t="str">
        <f ca="1">IF('Raw Data'!B328 &lt;&gt; "", IF('Raw Data'!C328 =  "", NOW(), 'Raw Data'!C328), "")</f>
        <v/>
      </c>
      <c r="I729" s="30" t="str">
        <f>LEFT('Raw Data'!E245, 1)  &amp; LEFT(RIGHT('Raw Data'!E245, LEN('Raw Data'!E245) - FIND(" ", 'Raw Data'!E245)), 1)</f>
        <v>MW</v>
      </c>
    </row>
    <row r="730" spans="4:9" x14ac:dyDescent="0.35">
      <c r="D730" s="7" t="str">
        <f ca="1">IF('Raw Data'!B329 &lt;&gt; "", IF('Raw Data'!C329 =  "", NOW(), 'Raw Data'!C329), "")</f>
        <v/>
      </c>
      <c r="I730" s="30" t="str">
        <f>LEFT('Raw Data'!E246, 1)  &amp; LEFT(RIGHT('Raw Data'!E246, LEN('Raw Data'!E246) - FIND(" ", 'Raw Data'!E246)), 1)</f>
        <v>VS</v>
      </c>
    </row>
    <row r="731" spans="4:9" x14ac:dyDescent="0.35">
      <c r="D731" s="7" t="str">
        <f ca="1">IF('Raw Data'!B330 &lt;&gt; "", IF('Raw Data'!C330 =  "", NOW(), 'Raw Data'!C330), "")</f>
        <v/>
      </c>
      <c r="I731" s="30" t="str">
        <f>LEFT('Raw Data'!E247, 1)  &amp; LEFT(RIGHT('Raw Data'!E247, LEN('Raw Data'!E247) - FIND(" ", 'Raw Data'!E247)), 1)</f>
        <v>KH</v>
      </c>
    </row>
    <row r="732" spans="4:9" x14ac:dyDescent="0.35">
      <c r="D732" s="7" t="str">
        <f ca="1">IF('Raw Data'!B331 &lt;&gt; "", IF('Raw Data'!C331 =  "", NOW(), 'Raw Data'!C331), "")</f>
        <v/>
      </c>
      <c r="I732" s="30" t="str">
        <f>LEFT('Raw Data'!E248, 1)  &amp; LEFT(RIGHT('Raw Data'!E248, LEN('Raw Data'!E248) - FIND(" ", 'Raw Data'!E248)), 1)</f>
        <v>CP</v>
      </c>
    </row>
    <row r="733" spans="4:9" x14ac:dyDescent="0.35">
      <c r="D733" s="7" t="str">
        <f ca="1">IF('Raw Data'!B332 &lt;&gt; "", IF('Raw Data'!C332 =  "", NOW(), 'Raw Data'!C332), "")</f>
        <v/>
      </c>
      <c r="I733" s="30" t="str">
        <f>LEFT('Raw Data'!E249, 1)  &amp; LEFT(RIGHT('Raw Data'!E249, LEN('Raw Data'!E249) - FIND(" ", 'Raw Data'!E249)), 1)</f>
        <v>EM</v>
      </c>
    </row>
    <row r="734" spans="4:9" x14ac:dyDescent="0.35">
      <c r="D734" s="7" t="str">
        <f ca="1">IF('Raw Data'!B333 &lt;&gt; "", IF('Raw Data'!C333 =  "", NOW(), 'Raw Data'!C333), "")</f>
        <v/>
      </c>
      <c r="I734" s="30" t="str">
        <f>LEFT('Raw Data'!E250, 1)  &amp; LEFT(RIGHT('Raw Data'!E250, LEN('Raw Data'!E250) - FIND(" ", 'Raw Data'!E250)), 1)</f>
        <v>VS</v>
      </c>
    </row>
    <row r="735" spans="4:9" x14ac:dyDescent="0.35">
      <c r="D735" s="7" t="str">
        <f ca="1">IF('Raw Data'!B334 &lt;&gt; "", IF('Raw Data'!C334 =  "", NOW(), 'Raw Data'!C334), "")</f>
        <v/>
      </c>
      <c r="I735" s="30" t="str">
        <f>LEFT('Raw Data'!E251, 1)  &amp; LEFT(RIGHT('Raw Data'!E251, LEN('Raw Data'!E251) - FIND(" ", 'Raw Data'!E251)), 1)</f>
        <v>RT</v>
      </c>
    </row>
    <row r="736" spans="4:9" x14ac:dyDescent="0.35">
      <c r="D736" s="7" t="str">
        <f ca="1">IF('Raw Data'!B335 &lt;&gt; "", IF('Raw Data'!C335 =  "", NOW(), 'Raw Data'!C335), "")</f>
        <v/>
      </c>
      <c r="I736" s="30" t="str">
        <f>LEFT('Raw Data'!E252, 1)  &amp; LEFT(RIGHT('Raw Data'!E252, LEN('Raw Data'!E252) - FIND(" ", 'Raw Data'!E252)), 1)</f>
        <v>DW</v>
      </c>
    </row>
    <row r="737" spans="4:9" x14ac:dyDescent="0.35">
      <c r="D737" s="7" t="str">
        <f ca="1">IF('Raw Data'!B336 &lt;&gt; "", IF('Raw Data'!C336 =  "", NOW(), 'Raw Data'!C336), "")</f>
        <v/>
      </c>
      <c r="I737" s="30" t="str">
        <f>LEFT('Raw Data'!E253, 1)  &amp; LEFT(RIGHT('Raw Data'!E253, LEN('Raw Data'!E253) - FIND(" ", 'Raw Data'!E253)), 1)</f>
        <v>LR</v>
      </c>
    </row>
    <row r="738" spans="4:9" x14ac:dyDescent="0.35">
      <c r="D738" s="7" t="str">
        <f ca="1">IF('Raw Data'!B337 &lt;&gt; "", IF('Raw Data'!C337 =  "", NOW(), 'Raw Data'!C337), "")</f>
        <v/>
      </c>
      <c r="I738" s="30" t="str">
        <f>LEFT('Raw Data'!E254, 1)  &amp; LEFT(RIGHT('Raw Data'!E254, LEN('Raw Data'!E254) - FIND(" ", 'Raw Data'!E254)), 1)</f>
        <v>ST</v>
      </c>
    </row>
    <row r="739" spans="4:9" x14ac:dyDescent="0.35">
      <c r="D739" s="7" t="str">
        <f ca="1">IF('Raw Data'!B338 &lt;&gt; "", IF('Raw Data'!C338 =  "", NOW(), 'Raw Data'!C338), "")</f>
        <v/>
      </c>
      <c r="I739" s="70"/>
    </row>
    <row r="740" spans="4:9" x14ac:dyDescent="0.35">
      <c r="D740" s="7" t="str">
        <f ca="1">IF('Raw Data'!B339 &lt;&gt; "", IF('Raw Data'!C339 =  "", NOW(), 'Raw Data'!C339), "")</f>
        <v/>
      </c>
      <c r="I740" s="70"/>
    </row>
    <row r="741" spans="4:9" x14ac:dyDescent="0.35">
      <c r="D741" s="7" t="str">
        <f ca="1">IF('Raw Data'!B340 &lt;&gt; "", IF('Raw Data'!C340 =  "", NOW(), 'Raw Data'!C340), "")</f>
        <v/>
      </c>
      <c r="I741" s="70"/>
    </row>
    <row r="742" spans="4:9" x14ac:dyDescent="0.35">
      <c r="D742" s="7" t="str">
        <f ca="1">IF('Raw Data'!B341 &lt;&gt; "", IF('Raw Data'!C341 =  "", NOW(), 'Raw Data'!C341), "")</f>
        <v/>
      </c>
      <c r="I742" s="70"/>
    </row>
    <row r="743" spans="4:9" x14ac:dyDescent="0.35">
      <c r="D743" s="7" t="str">
        <f ca="1">IF('Raw Data'!B342 &lt;&gt; "", IF('Raw Data'!C342 =  "", NOW(), 'Raw Data'!C342), "")</f>
        <v/>
      </c>
      <c r="I743" s="70"/>
    </row>
    <row r="744" spans="4:9" x14ac:dyDescent="0.35">
      <c r="D744" s="7" t="str">
        <f ca="1">IF('Raw Data'!B343 &lt;&gt; "", IF('Raw Data'!C343 =  "", NOW(), 'Raw Data'!C343), "")</f>
        <v/>
      </c>
      <c r="I744" s="70"/>
    </row>
    <row r="745" spans="4:9" x14ac:dyDescent="0.35">
      <c r="D745" s="7" t="str">
        <f ca="1">IF('Raw Data'!B344 &lt;&gt; "", IF('Raw Data'!C344 =  "", NOW(), 'Raw Data'!C344), "")</f>
        <v/>
      </c>
    </row>
    <row r="746" spans="4:9" x14ac:dyDescent="0.35">
      <c r="D746" s="7" t="str">
        <f ca="1">IF('Raw Data'!B345 &lt;&gt; "", IF('Raw Data'!C345 =  "", NOW(), 'Raw Data'!C345), "")</f>
        <v/>
      </c>
    </row>
    <row r="747" spans="4:9" x14ac:dyDescent="0.35">
      <c r="D747" s="7" t="str">
        <f ca="1">IF('Raw Data'!B346 &lt;&gt; "", IF('Raw Data'!C346 =  "", NOW(), 'Raw Data'!C346), "")</f>
        <v/>
      </c>
    </row>
    <row r="748" spans="4:9" x14ac:dyDescent="0.35">
      <c r="D748" s="7" t="str">
        <f ca="1">IF('Raw Data'!B347 &lt;&gt; "", IF('Raw Data'!C347 =  "", NOW(), 'Raw Data'!C347), "")</f>
        <v/>
      </c>
    </row>
    <row r="749" spans="4:9" x14ac:dyDescent="0.35">
      <c r="D749" s="7" t="str">
        <f ca="1">IF('Raw Data'!B348 &lt;&gt; "", IF('Raw Data'!C348 =  "", NOW(), 'Raw Data'!C348), "")</f>
        <v/>
      </c>
    </row>
    <row r="750" spans="4:9" x14ac:dyDescent="0.35">
      <c r="D750" s="7" t="str">
        <f ca="1">IF('Raw Data'!B349 &lt;&gt; "", IF('Raw Data'!C349 =  "", NOW(), 'Raw Data'!C349), "")</f>
        <v/>
      </c>
    </row>
    <row r="751" spans="4:9" x14ac:dyDescent="0.35">
      <c r="D751" s="7" t="str">
        <f ca="1">IF('Raw Data'!B350 &lt;&gt; "", IF('Raw Data'!C350 =  "", NOW(), 'Raw Data'!C350), "")</f>
        <v/>
      </c>
    </row>
    <row r="752" spans="4:9" x14ac:dyDescent="0.35">
      <c r="D752" s="7" t="str">
        <f ca="1">IF('Raw Data'!B351 &lt;&gt; "", IF('Raw Data'!C351 =  "", NOW(), 'Raw Data'!C351), "")</f>
        <v/>
      </c>
    </row>
    <row r="753" spans="4:4" x14ac:dyDescent="0.35">
      <c r="D753" s="7" t="str">
        <f ca="1">IF('Raw Data'!B352 &lt;&gt; "", IF('Raw Data'!C352 =  "", NOW(), 'Raw Data'!C352), "")</f>
        <v/>
      </c>
    </row>
    <row r="754" spans="4:4" x14ac:dyDescent="0.35">
      <c r="D754" s="7" t="str">
        <f ca="1">IF('Raw Data'!B353 &lt;&gt; "", IF('Raw Data'!C353 =  "", NOW(), 'Raw Data'!C353), "")</f>
        <v/>
      </c>
    </row>
    <row r="755" spans="4:4" x14ac:dyDescent="0.35">
      <c r="D755" s="7" t="str">
        <f ca="1">IF('Raw Data'!B354 &lt;&gt; "", IF('Raw Data'!C354 =  "", NOW(), 'Raw Data'!C354), "")</f>
        <v/>
      </c>
    </row>
    <row r="756" spans="4:4" x14ac:dyDescent="0.35">
      <c r="D756" s="7" t="str">
        <f ca="1">IF('Raw Data'!B355 &lt;&gt; "", IF('Raw Data'!C355 =  "", NOW(), 'Raw Data'!C355), "")</f>
        <v/>
      </c>
    </row>
    <row r="757" spans="4:4" x14ac:dyDescent="0.35">
      <c r="D757" s="7" t="str">
        <f ca="1">IF('Raw Data'!B356 &lt;&gt; "", IF('Raw Data'!C356 =  "", NOW(), 'Raw Data'!C356), "")</f>
        <v/>
      </c>
    </row>
    <row r="758" spans="4:4" x14ac:dyDescent="0.35">
      <c r="D758" s="7" t="str">
        <f ca="1">IF('Raw Data'!B357 &lt;&gt; "", IF('Raw Data'!C357 =  "", NOW(), 'Raw Data'!C357), "")</f>
        <v/>
      </c>
    </row>
    <row r="759" spans="4:4" x14ac:dyDescent="0.35">
      <c r="D759" s="7" t="str">
        <f ca="1">IF('Raw Data'!B358 &lt;&gt; "", IF('Raw Data'!C358 =  "", NOW(), 'Raw Data'!C358), "")</f>
        <v/>
      </c>
    </row>
    <row r="760" spans="4:4" x14ac:dyDescent="0.35">
      <c r="D760" s="7" t="str">
        <f ca="1">IF('Raw Data'!B359 &lt;&gt; "", IF('Raw Data'!C359 =  "", NOW(), 'Raw Data'!C359), "")</f>
        <v/>
      </c>
    </row>
    <row r="761" spans="4:4" x14ac:dyDescent="0.35">
      <c r="D761" s="7" t="str">
        <f ca="1">IF('Raw Data'!B360 &lt;&gt; "", IF('Raw Data'!C360 =  "", NOW(), 'Raw Data'!C360), "")</f>
        <v/>
      </c>
    </row>
    <row r="762" spans="4:4" x14ac:dyDescent="0.35">
      <c r="D762" s="7" t="str">
        <f ca="1">IF('Raw Data'!B361 &lt;&gt; "", IF('Raw Data'!C361 =  "", NOW(), 'Raw Data'!C361), "")</f>
        <v/>
      </c>
    </row>
    <row r="763" spans="4:4" x14ac:dyDescent="0.35">
      <c r="D763" s="7" t="str">
        <f ca="1">IF('Raw Data'!B362 &lt;&gt; "", IF('Raw Data'!C362 =  "", NOW(), 'Raw Data'!C362), "")</f>
        <v/>
      </c>
    </row>
    <row r="764" spans="4:4" x14ac:dyDescent="0.35">
      <c r="D764" s="7" t="str">
        <f ca="1">IF('Raw Data'!B363 &lt;&gt; "", IF('Raw Data'!C363 =  "", NOW(), 'Raw Data'!C363), "")</f>
        <v/>
      </c>
    </row>
    <row r="765" spans="4:4" x14ac:dyDescent="0.35">
      <c r="D765" s="7" t="str">
        <f ca="1">IF('Raw Data'!B364 &lt;&gt; "", IF('Raw Data'!C364 =  "", NOW(), 'Raw Data'!C364), "")</f>
        <v/>
      </c>
    </row>
    <row r="766" spans="4:4" x14ac:dyDescent="0.35">
      <c r="D766" s="7" t="str">
        <f ca="1">IF('Raw Data'!B365 &lt;&gt; "", IF('Raw Data'!C365 =  "", NOW(), 'Raw Data'!C365), "")</f>
        <v/>
      </c>
    </row>
    <row r="767" spans="4:4" x14ac:dyDescent="0.35">
      <c r="D767" s="7" t="str">
        <f ca="1">IF('Raw Data'!B366 &lt;&gt; "", IF('Raw Data'!C366 =  "", NOW(), 'Raw Data'!C366), "")</f>
        <v/>
      </c>
    </row>
    <row r="768" spans="4:4" x14ac:dyDescent="0.35">
      <c r="D768" s="7" t="str">
        <f ca="1">IF('Raw Data'!B367 &lt;&gt; "", IF('Raw Data'!C367 =  "", NOW(), 'Raw Data'!C367), "")</f>
        <v/>
      </c>
    </row>
    <row r="769" spans="4:4" x14ac:dyDescent="0.35">
      <c r="D769" s="7" t="str">
        <f ca="1">IF('Raw Data'!B368 &lt;&gt; "", IF('Raw Data'!C368 =  "", NOW(), 'Raw Data'!C368), "")</f>
        <v/>
      </c>
    </row>
    <row r="770" spans="4:4" x14ac:dyDescent="0.35">
      <c r="D770" s="7" t="str">
        <f ca="1">IF('Raw Data'!B369 &lt;&gt; "", IF('Raw Data'!C369 =  "", NOW(), 'Raw Data'!C369), "")</f>
        <v/>
      </c>
    </row>
    <row r="771" spans="4:4" x14ac:dyDescent="0.35">
      <c r="D771" s="7" t="str">
        <f ca="1">IF('Raw Data'!B370 &lt;&gt; "", IF('Raw Data'!C370 =  "", NOW(), 'Raw Data'!C370), "")</f>
        <v/>
      </c>
    </row>
    <row r="772" spans="4:4" x14ac:dyDescent="0.35">
      <c r="D772" s="7" t="str">
        <f ca="1">IF('Raw Data'!B371 &lt;&gt; "", IF('Raw Data'!C371 =  "", NOW(), 'Raw Data'!C371), "")</f>
        <v/>
      </c>
    </row>
    <row r="773" spans="4:4" x14ac:dyDescent="0.35">
      <c r="D773" s="7" t="str">
        <f ca="1">IF('Raw Data'!B372 &lt;&gt; "", IF('Raw Data'!C372 =  "", NOW(), 'Raw Data'!C372), "")</f>
        <v/>
      </c>
    </row>
    <row r="774" spans="4:4" x14ac:dyDescent="0.35">
      <c r="D774" s="7" t="str">
        <f ca="1">IF('Raw Data'!B373 &lt;&gt; "", IF('Raw Data'!C373 =  "", NOW(), 'Raw Data'!C373), "")</f>
        <v/>
      </c>
    </row>
    <row r="775" spans="4:4" x14ac:dyDescent="0.35">
      <c r="D775" s="7" t="str">
        <f ca="1">IF('Raw Data'!B374 &lt;&gt; "", IF('Raw Data'!C374 =  "", NOW(), 'Raw Data'!C374), "")</f>
        <v/>
      </c>
    </row>
    <row r="776" spans="4:4" x14ac:dyDescent="0.35">
      <c r="D776" s="7" t="str">
        <f ca="1">IF('Raw Data'!B375 &lt;&gt; "", IF('Raw Data'!C375 =  "", NOW(), 'Raw Data'!C375), "")</f>
        <v/>
      </c>
    </row>
    <row r="777" spans="4:4" x14ac:dyDescent="0.35">
      <c r="D777" s="7" t="str">
        <f ca="1">IF('Raw Data'!B376 &lt;&gt; "", IF('Raw Data'!C376 =  "", NOW(), 'Raw Data'!C376), "")</f>
        <v/>
      </c>
    </row>
    <row r="778" spans="4:4" x14ac:dyDescent="0.35">
      <c r="D778" s="7" t="str">
        <f ca="1">IF('Raw Data'!B377 &lt;&gt; "", IF('Raw Data'!C377 =  "", NOW(), 'Raw Data'!C377), "")</f>
        <v/>
      </c>
    </row>
    <row r="779" spans="4:4" x14ac:dyDescent="0.35">
      <c r="D779" s="7" t="str">
        <f ca="1">IF('Raw Data'!B378 &lt;&gt; "", IF('Raw Data'!C378 =  "", NOW(), 'Raw Data'!C378), "")</f>
        <v/>
      </c>
    </row>
    <row r="780" spans="4:4" x14ac:dyDescent="0.35">
      <c r="D780" s="7" t="str">
        <f ca="1">IF('Raw Data'!B379 &lt;&gt; "", IF('Raw Data'!C379 =  "", NOW(), 'Raw Data'!C379), "")</f>
        <v/>
      </c>
    </row>
    <row r="781" spans="4:4" x14ac:dyDescent="0.35">
      <c r="D781" s="7" t="str">
        <f ca="1">IF('Raw Data'!B380 &lt;&gt; "", IF('Raw Data'!C380 =  "", NOW(), 'Raw Data'!C380), "")</f>
        <v/>
      </c>
    </row>
    <row r="782" spans="4:4" x14ac:dyDescent="0.35">
      <c r="D782" s="7" t="str">
        <f ca="1">IF('Raw Data'!B381 &lt;&gt; "", IF('Raw Data'!C381 =  "", NOW(), 'Raw Data'!C381), "")</f>
        <v/>
      </c>
    </row>
    <row r="783" spans="4:4" x14ac:dyDescent="0.35">
      <c r="D783" s="7" t="str">
        <f ca="1">IF('Raw Data'!B382 &lt;&gt; "", IF('Raw Data'!C382 =  "", NOW(), 'Raw Data'!C382), "")</f>
        <v/>
      </c>
    </row>
    <row r="784" spans="4:4" x14ac:dyDescent="0.35">
      <c r="D784" s="7" t="str">
        <f ca="1">IF('Raw Data'!B383 &lt;&gt; "", IF('Raw Data'!C383 =  "", NOW(), 'Raw Data'!C383), "")</f>
        <v/>
      </c>
    </row>
    <row r="785" spans="4:4" x14ac:dyDescent="0.35">
      <c r="D785" s="7" t="str">
        <f ca="1">IF('Raw Data'!B384 &lt;&gt; "", IF('Raw Data'!C384 =  "", NOW(), 'Raw Data'!C384), "")</f>
        <v/>
      </c>
    </row>
    <row r="786" spans="4:4" x14ac:dyDescent="0.35">
      <c r="D786" s="7" t="str">
        <f ca="1">IF('Raw Data'!B385 &lt;&gt; "", IF('Raw Data'!C385 =  "", NOW(), 'Raw Data'!C385), "")</f>
        <v/>
      </c>
    </row>
    <row r="787" spans="4:4" x14ac:dyDescent="0.35">
      <c r="D787" s="7" t="str">
        <f ca="1">IF('Raw Data'!B386 &lt;&gt; "", IF('Raw Data'!C386 =  "", NOW(), 'Raw Data'!C386), "")</f>
        <v/>
      </c>
    </row>
    <row r="788" spans="4:4" x14ac:dyDescent="0.35">
      <c r="D788" s="7" t="str">
        <f ca="1">IF('Raw Data'!B387 &lt;&gt; "", IF('Raw Data'!C387 =  "", NOW(), 'Raw Data'!C387), "")</f>
        <v/>
      </c>
    </row>
    <row r="789" spans="4:4" x14ac:dyDescent="0.35">
      <c r="D789" s="7" t="str">
        <f ca="1">IF('Raw Data'!B388 &lt;&gt; "", IF('Raw Data'!C388 =  "", NOW(), 'Raw Data'!C388), "")</f>
        <v/>
      </c>
    </row>
    <row r="790" spans="4:4" x14ac:dyDescent="0.35">
      <c r="D790" s="7" t="str">
        <f ca="1">IF('Raw Data'!B389 &lt;&gt; "", IF('Raw Data'!C389 =  "", NOW(), 'Raw Data'!C389), "")</f>
        <v/>
      </c>
    </row>
    <row r="791" spans="4:4" x14ac:dyDescent="0.35">
      <c r="D791" s="7" t="str">
        <f ca="1">IF('Raw Data'!B390 &lt;&gt; "", IF('Raw Data'!C390 =  "", NOW(), 'Raw Data'!C390), "")</f>
        <v/>
      </c>
    </row>
    <row r="792" spans="4:4" x14ac:dyDescent="0.35">
      <c r="D792" s="7" t="str">
        <f ca="1">IF('Raw Data'!B391 &lt;&gt; "", IF('Raw Data'!C391 =  "", NOW(), 'Raw Data'!C391), "")</f>
        <v/>
      </c>
    </row>
    <row r="793" spans="4:4" x14ac:dyDescent="0.35">
      <c r="D793" s="7" t="str">
        <f ca="1">IF('Raw Data'!B392 &lt;&gt; "", IF('Raw Data'!C392 =  "", NOW(), 'Raw Data'!C392), "")</f>
        <v/>
      </c>
    </row>
    <row r="794" spans="4:4" x14ac:dyDescent="0.35">
      <c r="D794" s="7" t="str">
        <f ca="1">IF('Raw Data'!B393 &lt;&gt; "", IF('Raw Data'!C393 =  "", NOW(), 'Raw Data'!C393), "")</f>
        <v/>
      </c>
    </row>
    <row r="795" spans="4:4" x14ac:dyDescent="0.35">
      <c r="D795" s="7" t="str">
        <f ca="1">IF('Raw Data'!B394 &lt;&gt; "", IF('Raw Data'!C394 =  "", NOW(), 'Raw Data'!C394), "")</f>
        <v/>
      </c>
    </row>
    <row r="796" spans="4:4" x14ac:dyDescent="0.35">
      <c r="D796" s="7" t="str">
        <f ca="1">IF('Raw Data'!B395 &lt;&gt; "", IF('Raw Data'!C395 =  "", NOW(), 'Raw Data'!C395), "")</f>
        <v/>
      </c>
    </row>
    <row r="797" spans="4:4" x14ac:dyDescent="0.35">
      <c r="D797" s="7" t="str">
        <f ca="1">IF('Raw Data'!B396 &lt;&gt; "", IF('Raw Data'!C396 =  "", NOW(), 'Raw Data'!C396), "")</f>
        <v/>
      </c>
    </row>
    <row r="798" spans="4:4" x14ac:dyDescent="0.35">
      <c r="D798" s="7" t="str">
        <f ca="1">IF('Raw Data'!B397 &lt;&gt; "", IF('Raw Data'!C397 =  "", NOW(), 'Raw Data'!C397), "")</f>
        <v/>
      </c>
    </row>
    <row r="799" spans="4:4" x14ac:dyDescent="0.35">
      <c r="D799" s="7" t="str">
        <f ca="1">IF('Raw Data'!B398 &lt;&gt; "", IF('Raw Data'!C398 =  "", NOW(), 'Raw Data'!C398), "")</f>
        <v/>
      </c>
    </row>
    <row r="800" spans="4:4" x14ac:dyDescent="0.35">
      <c r="D800" s="7" t="str">
        <f ca="1">IF('Raw Data'!B399 &lt;&gt; "", IF('Raw Data'!C399 =  "", NOW(), 'Raw Data'!C399), "")</f>
        <v/>
      </c>
    </row>
    <row r="801" spans="4:4" x14ac:dyDescent="0.35">
      <c r="D801" s="7" t="str">
        <f ca="1">IF('Raw Data'!B400 &lt;&gt; "", IF('Raw Data'!C400 =  "", NOW(), 'Raw Data'!C400), "")</f>
        <v/>
      </c>
    </row>
    <row r="802" spans="4:4" x14ac:dyDescent="0.35">
      <c r="D802" s="7" t="str">
        <f ca="1">IF('Raw Data'!B401 &lt;&gt; "", IF('Raw Data'!C401 =  "", NOW(), 'Raw Data'!C401), "")</f>
        <v/>
      </c>
    </row>
    <row r="803" spans="4:4" x14ac:dyDescent="0.35">
      <c r="D803" s="7" t="str">
        <f ca="1">IF('Raw Data'!B402 &lt;&gt; "", IF('Raw Data'!C402 =  "", NOW(), 'Raw Data'!C402), "")</f>
        <v/>
      </c>
    </row>
    <row r="804" spans="4:4" x14ac:dyDescent="0.35">
      <c r="D804" s="7" t="str">
        <f ca="1">IF('Raw Data'!B403 &lt;&gt; "", IF('Raw Data'!C403 =  "", NOW(), 'Raw Data'!C403), "")</f>
        <v/>
      </c>
    </row>
    <row r="805" spans="4:4" x14ac:dyDescent="0.35">
      <c r="D805" s="7" t="str">
        <f ca="1">IF('Raw Data'!B404 &lt;&gt; "", IF('Raw Data'!C404 =  "", NOW(), 'Raw Data'!C404), "")</f>
        <v/>
      </c>
    </row>
    <row r="806" spans="4:4" x14ac:dyDescent="0.35">
      <c r="D806" s="7" t="str">
        <f ca="1">IF('Raw Data'!B405 &lt;&gt; "", IF('Raw Data'!C405 =  "", NOW(), 'Raw Data'!C405), "")</f>
        <v/>
      </c>
    </row>
    <row r="807" spans="4:4" x14ac:dyDescent="0.35">
      <c r="D807" s="7" t="str">
        <f ca="1">IF('Raw Data'!B406 &lt;&gt; "", IF('Raw Data'!C406 =  "", NOW(), 'Raw Data'!C406), "")</f>
        <v/>
      </c>
    </row>
    <row r="808" spans="4:4" x14ac:dyDescent="0.35">
      <c r="D808" s="7" t="str">
        <f ca="1">IF('Raw Data'!B407 &lt;&gt; "", IF('Raw Data'!C407 =  "", NOW(), 'Raw Data'!C407), "")</f>
        <v/>
      </c>
    </row>
    <row r="809" spans="4:4" x14ac:dyDescent="0.35">
      <c r="D809" s="7" t="str">
        <f ca="1">IF('Raw Data'!B408 &lt;&gt; "", IF('Raw Data'!C408 =  "", NOW(), 'Raw Data'!C408), "")</f>
        <v/>
      </c>
    </row>
    <row r="810" spans="4:4" x14ac:dyDescent="0.35">
      <c r="D810" s="7" t="str">
        <f ca="1">IF('Raw Data'!B409 &lt;&gt; "", IF('Raw Data'!C409 =  "", NOW(), 'Raw Data'!C409), "")</f>
        <v/>
      </c>
    </row>
    <row r="811" spans="4:4" x14ac:dyDescent="0.35">
      <c r="D811" s="7" t="str">
        <f ca="1">IF('Raw Data'!B410 &lt;&gt; "", IF('Raw Data'!C410 =  "", NOW(), 'Raw Data'!C410), "")</f>
        <v/>
      </c>
    </row>
    <row r="812" spans="4:4" x14ac:dyDescent="0.35">
      <c r="D812" s="7" t="str">
        <f ca="1">IF('Raw Data'!B411 &lt;&gt; "", IF('Raw Data'!C411 =  "", NOW(), 'Raw Data'!C411), "")</f>
        <v/>
      </c>
    </row>
    <row r="813" spans="4:4" x14ac:dyDescent="0.35">
      <c r="D813" s="7" t="str">
        <f ca="1">IF('Raw Data'!B412 &lt;&gt; "", IF('Raw Data'!C412 =  "", NOW(), 'Raw Data'!C412), "")</f>
        <v/>
      </c>
    </row>
    <row r="814" spans="4:4" x14ac:dyDescent="0.35">
      <c r="D814" s="7" t="str">
        <f ca="1">IF('Raw Data'!B413 &lt;&gt; "", IF('Raw Data'!C413 =  "", NOW(), 'Raw Data'!C413), "")</f>
        <v/>
      </c>
    </row>
    <row r="815" spans="4:4" x14ac:dyDescent="0.35">
      <c r="D815" s="7" t="str">
        <f ca="1">IF('Raw Data'!B414 &lt;&gt; "", IF('Raw Data'!C414 =  "", NOW(), 'Raw Data'!C414), "")</f>
        <v/>
      </c>
    </row>
    <row r="816" spans="4:4" x14ac:dyDescent="0.35">
      <c r="D816" s="7" t="str">
        <f ca="1">IF('Raw Data'!B415 &lt;&gt; "", IF('Raw Data'!C415 =  "", NOW(), 'Raw Data'!C415), "")</f>
        <v/>
      </c>
    </row>
    <row r="817" spans="4:4" x14ac:dyDescent="0.35">
      <c r="D817" s="7" t="str">
        <f ca="1">IF('Raw Data'!B416 &lt;&gt; "", IF('Raw Data'!C416 =  "", NOW(), 'Raw Data'!C416), "")</f>
        <v/>
      </c>
    </row>
    <row r="818" spans="4:4" x14ac:dyDescent="0.35">
      <c r="D818" s="7" t="str">
        <f ca="1">IF('Raw Data'!B417 &lt;&gt; "", IF('Raw Data'!C417 =  "", NOW(), 'Raw Data'!C417), "")</f>
        <v/>
      </c>
    </row>
    <row r="819" spans="4:4" x14ac:dyDescent="0.35">
      <c r="D819" s="7" t="str">
        <f ca="1">IF('Raw Data'!B418 &lt;&gt; "", IF('Raw Data'!C418 =  "", NOW(), 'Raw Data'!C418), "")</f>
        <v/>
      </c>
    </row>
    <row r="820" spans="4:4" x14ac:dyDescent="0.35">
      <c r="D820" s="7" t="str">
        <f ca="1">IF('Raw Data'!B419 &lt;&gt; "", IF('Raw Data'!C419 =  "", NOW(), 'Raw Data'!C419), "")</f>
        <v/>
      </c>
    </row>
    <row r="821" spans="4:4" x14ac:dyDescent="0.35">
      <c r="D821" s="7" t="str">
        <f ca="1">IF('Raw Data'!B420 &lt;&gt; "", IF('Raw Data'!C420 =  "", NOW(), 'Raw Data'!C420), "")</f>
        <v/>
      </c>
    </row>
    <row r="822" spans="4:4" x14ac:dyDescent="0.35">
      <c r="D822" s="7" t="str">
        <f ca="1">IF('Raw Data'!B421 &lt;&gt; "", IF('Raw Data'!C421 =  "", NOW(), 'Raw Data'!C421), "")</f>
        <v/>
      </c>
    </row>
    <row r="823" spans="4:4" x14ac:dyDescent="0.35">
      <c r="D823" s="7" t="str">
        <f ca="1">IF('Raw Data'!B422 &lt;&gt; "", IF('Raw Data'!C422 =  "", NOW(), 'Raw Data'!C422), "")</f>
        <v/>
      </c>
    </row>
    <row r="824" spans="4:4" x14ac:dyDescent="0.35">
      <c r="D824" s="7" t="str">
        <f ca="1">IF('Raw Data'!B423 &lt;&gt; "", IF('Raw Data'!C423 =  "", NOW(), 'Raw Data'!C423), "")</f>
        <v/>
      </c>
    </row>
    <row r="825" spans="4:4" x14ac:dyDescent="0.35">
      <c r="D825" s="7" t="str">
        <f ca="1">IF('Raw Data'!B424 &lt;&gt; "", IF('Raw Data'!C424 =  "", NOW(), 'Raw Data'!C424), "")</f>
        <v/>
      </c>
    </row>
    <row r="826" spans="4:4" x14ac:dyDescent="0.35">
      <c r="D826" s="7" t="str">
        <f ca="1">IF('Raw Data'!B425 &lt;&gt; "", IF('Raw Data'!C425 =  "", NOW(), 'Raw Data'!C425), "")</f>
        <v/>
      </c>
    </row>
    <row r="827" spans="4:4" x14ac:dyDescent="0.35">
      <c r="D827" s="7" t="str">
        <f ca="1">IF('Raw Data'!B426 &lt;&gt; "", IF('Raw Data'!C426 =  "", NOW(), 'Raw Data'!C426), "")</f>
        <v/>
      </c>
    </row>
    <row r="828" spans="4:4" x14ac:dyDescent="0.35">
      <c r="D828" s="7" t="str">
        <f ca="1">IF('Raw Data'!B427 &lt;&gt; "", IF('Raw Data'!C427 =  "", NOW(), 'Raw Data'!C427), "")</f>
        <v/>
      </c>
    </row>
    <row r="829" spans="4:4" x14ac:dyDescent="0.35">
      <c r="D829" s="7" t="str">
        <f ca="1">IF('Raw Data'!B428 &lt;&gt; "", IF('Raw Data'!C428 =  "", NOW(), 'Raw Data'!C428), "")</f>
        <v/>
      </c>
    </row>
    <row r="830" spans="4:4" x14ac:dyDescent="0.35">
      <c r="D830" s="7" t="str">
        <f ca="1">IF('Raw Data'!B429 &lt;&gt; "", IF('Raw Data'!C429 =  "", NOW(), 'Raw Data'!C429), "")</f>
        <v/>
      </c>
    </row>
    <row r="831" spans="4:4" x14ac:dyDescent="0.35">
      <c r="D831" s="7" t="str">
        <f ca="1">IF('Raw Data'!B430 &lt;&gt; "", IF('Raw Data'!C430 =  "", NOW(), 'Raw Data'!C430), "")</f>
        <v/>
      </c>
    </row>
    <row r="832" spans="4:4" x14ac:dyDescent="0.35">
      <c r="D832" s="7" t="str">
        <f ca="1">IF('Raw Data'!B431 &lt;&gt; "", IF('Raw Data'!C431 =  "", NOW(), 'Raw Data'!C431), "")</f>
        <v/>
      </c>
    </row>
    <row r="833" spans="4:4" x14ac:dyDescent="0.35">
      <c r="D833" s="7" t="str">
        <f ca="1">IF('Raw Data'!B432 &lt;&gt; "", IF('Raw Data'!C432 =  "", NOW(), 'Raw Data'!C432), "")</f>
        <v/>
      </c>
    </row>
    <row r="834" spans="4:4" x14ac:dyDescent="0.35">
      <c r="D834" s="7" t="str">
        <f ca="1">IF('Raw Data'!B433 &lt;&gt; "", IF('Raw Data'!C433 =  "", NOW(), 'Raw Data'!C433), "")</f>
        <v/>
      </c>
    </row>
    <row r="835" spans="4:4" x14ac:dyDescent="0.35">
      <c r="D835" s="7" t="str">
        <f ca="1">IF('Raw Data'!B434 &lt;&gt; "", IF('Raw Data'!C434 =  "", NOW(), 'Raw Data'!C434), "")</f>
        <v/>
      </c>
    </row>
    <row r="836" spans="4:4" x14ac:dyDescent="0.35">
      <c r="D836" s="7" t="str">
        <f ca="1">IF('Raw Data'!B435 &lt;&gt; "", IF('Raw Data'!C435 =  "", NOW(), 'Raw Data'!C435), "")</f>
        <v/>
      </c>
    </row>
    <row r="837" spans="4:4" x14ac:dyDescent="0.35">
      <c r="D837" s="7" t="str">
        <f ca="1">IF('Raw Data'!B436 &lt;&gt; "", IF('Raw Data'!C436 =  "", NOW(), 'Raw Data'!C436), "")</f>
        <v/>
      </c>
    </row>
    <row r="838" spans="4:4" x14ac:dyDescent="0.35">
      <c r="D838" s="7" t="str">
        <f ca="1">IF('Raw Data'!B437 &lt;&gt; "", IF('Raw Data'!C437 =  "", NOW(), 'Raw Data'!C437), "")</f>
        <v/>
      </c>
    </row>
    <row r="839" spans="4:4" x14ac:dyDescent="0.35">
      <c r="D839" s="7" t="str">
        <f ca="1">IF('Raw Data'!B438 &lt;&gt; "", IF('Raw Data'!C438 =  "", NOW(), 'Raw Data'!C438), "")</f>
        <v/>
      </c>
    </row>
    <row r="840" spans="4:4" x14ac:dyDescent="0.35">
      <c r="D840" s="7" t="str">
        <f ca="1">IF('Raw Data'!B439 &lt;&gt; "", IF('Raw Data'!C439 =  "", NOW(), 'Raw Data'!C439), "")</f>
        <v/>
      </c>
    </row>
    <row r="841" spans="4:4" x14ac:dyDescent="0.35">
      <c r="D841" s="7" t="str">
        <f ca="1">IF('Raw Data'!B440 &lt;&gt; "", IF('Raw Data'!C440 =  "", NOW(), 'Raw Data'!C440), "")</f>
        <v/>
      </c>
    </row>
    <row r="842" spans="4:4" x14ac:dyDescent="0.35">
      <c r="D842" s="7" t="str">
        <f ca="1">IF('Raw Data'!B441 &lt;&gt; "", IF('Raw Data'!C441 =  "", NOW(), 'Raw Data'!C441), "")</f>
        <v/>
      </c>
    </row>
    <row r="843" spans="4:4" x14ac:dyDescent="0.35">
      <c r="D843" s="7" t="str">
        <f ca="1">IF('Raw Data'!B442 &lt;&gt; "", IF('Raw Data'!C442 =  "", NOW(), 'Raw Data'!C442), "")</f>
        <v/>
      </c>
    </row>
    <row r="844" spans="4:4" x14ac:dyDescent="0.35">
      <c r="D844" s="7" t="str">
        <f ca="1">IF('Raw Data'!B443 &lt;&gt; "", IF('Raw Data'!C443 =  "", NOW(), 'Raw Data'!C443), "")</f>
        <v/>
      </c>
    </row>
    <row r="845" spans="4:4" x14ac:dyDescent="0.35">
      <c r="D845" s="7" t="str">
        <f ca="1">IF('Raw Data'!B444 &lt;&gt; "", IF('Raw Data'!C444 =  "", NOW(), 'Raw Data'!C444), "")</f>
        <v/>
      </c>
    </row>
    <row r="846" spans="4:4" x14ac:dyDescent="0.35">
      <c r="D846" s="7" t="str">
        <f ca="1">IF('Raw Data'!B445 &lt;&gt; "", IF('Raw Data'!C445 =  "", NOW(), 'Raw Data'!C445), "")</f>
        <v/>
      </c>
    </row>
    <row r="847" spans="4:4" x14ac:dyDescent="0.35">
      <c r="D847" s="7" t="str">
        <f ca="1">IF('Raw Data'!B446 &lt;&gt; "", IF('Raw Data'!C446 =  "", NOW(), 'Raw Data'!C446), "")</f>
        <v/>
      </c>
    </row>
    <row r="848" spans="4:4" x14ac:dyDescent="0.35">
      <c r="D848" s="7" t="str">
        <f ca="1">IF('Raw Data'!B447 &lt;&gt; "", IF('Raw Data'!C447 =  "", NOW(), 'Raw Data'!C447), "")</f>
        <v/>
      </c>
    </row>
    <row r="849" spans="4:4" x14ac:dyDescent="0.35">
      <c r="D849" s="7" t="str">
        <f ca="1">IF('Raw Data'!B448 &lt;&gt; "", IF('Raw Data'!C448 =  "", NOW(), 'Raw Data'!C448), "")</f>
        <v/>
      </c>
    </row>
    <row r="850" spans="4:4" x14ac:dyDescent="0.35">
      <c r="D850" s="7" t="str">
        <f ca="1">IF('Raw Data'!B449 &lt;&gt; "", IF('Raw Data'!C449 =  "", NOW(), 'Raw Data'!C449), "")</f>
        <v/>
      </c>
    </row>
    <row r="851" spans="4:4" x14ac:dyDescent="0.35">
      <c r="D851" s="7" t="str">
        <f ca="1">IF('Raw Data'!B450 &lt;&gt; "", IF('Raw Data'!C450 =  "", NOW(), 'Raw Data'!C450), "")</f>
        <v/>
      </c>
    </row>
    <row r="852" spans="4:4" x14ac:dyDescent="0.35">
      <c r="D852" s="7" t="str">
        <f ca="1">IF('Raw Data'!B451 &lt;&gt; "", IF('Raw Data'!C451 =  "", NOW(), 'Raw Data'!C451), "")</f>
        <v/>
      </c>
    </row>
    <row r="853" spans="4:4" x14ac:dyDescent="0.35">
      <c r="D853" s="7" t="str">
        <f ca="1">IF('Raw Data'!B452 &lt;&gt; "", IF('Raw Data'!C452 =  "", NOW(), 'Raw Data'!C452), "")</f>
        <v/>
      </c>
    </row>
    <row r="854" spans="4:4" x14ac:dyDescent="0.35">
      <c r="D854" s="7" t="str">
        <f ca="1">IF('Raw Data'!B453 &lt;&gt; "", IF('Raw Data'!C453 =  "", NOW(), 'Raw Data'!C453), "")</f>
        <v/>
      </c>
    </row>
    <row r="855" spans="4:4" x14ac:dyDescent="0.35">
      <c r="D855" s="7" t="str">
        <f ca="1">IF('Raw Data'!B454 &lt;&gt; "", IF('Raw Data'!C454 =  "", NOW(), 'Raw Data'!C454), "")</f>
        <v/>
      </c>
    </row>
    <row r="856" spans="4:4" x14ac:dyDescent="0.35">
      <c r="D856" s="7" t="str">
        <f ca="1">IF('Raw Data'!B455 &lt;&gt; "", IF('Raw Data'!C455 =  "", NOW(), 'Raw Data'!C455), "")</f>
        <v/>
      </c>
    </row>
    <row r="857" spans="4:4" x14ac:dyDescent="0.35">
      <c r="D857" s="7" t="str">
        <f ca="1">IF('Raw Data'!B456 &lt;&gt; "", IF('Raw Data'!C456 =  "", NOW(), 'Raw Data'!C456), "")</f>
        <v/>
      </c>
    </row>
    <row r="858" spans="4:4" x14ac:dyDescent="0.35">
      <c r="D858" s="7" t="str">
        <f ca="1">IF('Raw Data'!B457 &lt;&gt; "", IF('Raw Data'!C457 =  "", NOW(), 'Raw Data'!C457), "")</f>
        <v/>
      </c>
    </row>
    <row r="859" spans="4:4" x14ac:dyDescent="0.35">
      <c r="D859" s="7" t="str">
        <f ca="1">IF('Raw Data'!B458 &lt;&gt; "", IF('Raw Data'!C458 =  "", NOW(), 'Raw Data'!C458), "")</f>
        <v/>
      </c>
    </row>
    <row r="860" spans="4:4" x14ac:dyDescent="0.35">
      <c r="D860" s="7" t="str">
        <f ca="1">IF('Raw Data'!B459 &lt;&gt; "", IF('Raw Data'!C459 =  "", NOW(), 'Raw Data'!C459), "")</f>
        <v/>
      </c>
    </row>
    <row r="861" spans="4:4" x14ac:dyDescent="0.35">
      <c r="D861" s="7" t="str">
        <f ca="1">IF('Raw Data'!B460 &lt;&gt; "", IF('Raw Data'!C460 =  "", NOW(), 'Raw Data'!C460), "")</f>
        <v/>
      </c>
    </row>
    <row r="862" spans="4:4" x14ac:dyDescent="0.35">
      <c r="D862" s="7" t="str">
        <f ca="1">IF('Raw Data'!B461 &lt;&gt; "", IF('Raw Data'!C461 =  "", NOW(), 'Raw Data'!C461), "")</f>
        <v/>
      </c>
    </row>
    <row r="863" spans="4:4" x14ac:dyDescent="0.35">
      <c r="D863" s="7" t="str">
        <f ca="1">IF('Raw Data'!B462 &lt;&gt; "", IF('Raw Data'!C462 =  "", NOW(), 'Raw Data'!C462), "")</f>
        <v/>
      </c>
    </row>
    <row r="864" spans="4:4" x14ac:dyDescent="0.35">
      <c r="D864" s="7" t="str">
        <f ca="1">IF('Raw Data'!B463 &lt;&gt; "", IF('Raw Data'!C463 =  "", NOW(), 'Raw Data'!C463), "")</f>
        <v/>
      </c>
    </row>
    <row r="865" spans="4:4" x14ac:dyDescent="0.35">
      <c r="D865" s="7" t="str">
        <f ca="1">IF('Raw Data'!B464 &lt;&gt; "", IF('Raw Data'!C464 =  "", NOW(), 'Raw Data'!C464), "")</f>
        <v/>
      </c>
    </row>
    <row r="866" spans="4:4" x14ac:dyDescent="0.35">
      <c r="D866" s="7" t="str">
        <f ca="1">IF('Raw Data'!B465 &lt;&gt; "", IF('Raw Data'!C465 =  "", NOW(), 'Raw Data'!C465), "")</f>
        <v/>
      </c>
    </row>
    <row r="867" spans="4:4" x14ac:dyDescent="0.35">
      <c r="D867" s="7" t="str">
        <f ca="1">IF('Raw Data'!B466 &lt;&gt; "", IF('Raw Data'!C466 =  "", NOW(), 'Raw Data'!C466), "")</f>
        <v/>
      </c>
    </row>
    <row r="868" spans="4:4" x14ac:dyDescent="0.35">
      <c r="D868" s="7" t="str">
        <f ca="1">IF('Raw Data'!B467 &lt;&gt; "", IF('Raw Data'!C467 =  "", NOW(), 'Raw Data'!C467), "")</f>
        <v/>
      </c>
    </row>
    <row r="869" spans="4:4" x14ac:dyDescent="0.35">
      <c r="D869" s="7" t="str">
        <f ca="1">IF('Raw Data'!B468 &lt;&gt; "", IF('Raw Data'!C468 =  "", NOW(), 'Raw Data'!C468), "")</f>
        <v/>
      </c>
    </row>
    <row r="870" spans="4:4" x14ac:dyDescent="0.35">
      <c r="D870" s="7" t="str">
        <f ca="1">IF('Raw Data'!B469 &lt;&gt; "", IF('Raw Data'!C469 =  "", NOW(), 'Raw Data'!C469), "")</f>
        <v/>
      </c>
    </row>
    <row r="871" spans="4:4" x14ac:dyDescent="0.35">
      <c r="D871" s="7" t="str">
        <f ca="1">IF('Raw Data'!B470 &lt;&gt; "", IF('Raw Data'!C470 =  "", NOW(), 'Raw Data'!C470), "")</f>
        <v/>
      </c>
    </row>
    <row r="872" spans="4:4" x14ac:dyDescent="0.35">
      <c r="D872" s="7" t="str">
        <f ca="1">IF('Raw Data'!B471 &lt;&gt; "", IF('Raw Data'!C471 =  "", NOW(), 'Raw Data'!C471), "")</f>
        <v/>
      </c>
    </row>
    <row r="873" spans="4:4" x14ac:dyDescent="0.35">
      <c r="D873" s="7" t="str">
        <f ca="1">IF('Raw Data'!B472 &lt;&gt; "", IF('Raw Data'!C472 =  "", NOW(), 'Raw Data'!C472), "")</f>
        <v/>
      </c>
    </row>
    <row r="874" spans="4:4" x14ac:dyDescent="0.35">
      <c r="D874" s="7" t="str">
        <f ca="1">IF('Raw Data'!B473 &lt;&gt; "", IF('Raw Data'!C473 =  "", NOW(), 'Raw Data'!C473), "")</f>
        <v/>
      </c>
    </row>
    <row r="875" spans="4:4" x14ac:dyDescent="0.35">
      <c r="D875" s="7" t="str">
        <f ca="1">IF('Raw Data'!B474 &lt;&gt; "", IF('Raw Data'!C474 =  "", NOW(), 'Raw Data'!C474), "")</f>
        <v/>
      </c>
    </row>
    <row r="876" spans="4:4" x14ac:dyDescent="0.35">
      <c r="D876" s="7" t="str">
        <f ca="1">IF('Raw Data'!B475 &lt;&gt; "", IF('Raw Data'!C475 =  "", NOW(), 'Raw Data'!C475), "")</f>
        <v/>
      </c>
    </row>
    <row r="877" spans="4:4" x14ac:dyDescent="0.35">
      <c r="D877" s="7" t="str">
        <f ca="1">IF('Raw Data'!B476 &lt;&gt; "", IF('Raw Data'!C476 =  "", NOW(), 'Raw Data'!C476), "")</f>
        <v/>
      </c>
    </row>
    <row r="878" spans="4:4" x14ac:dyDescent="0.35">
      <c r="D878" s="7" t="str">
        <f ca="1">IF('Raw Data'!B477 &lt;&gt; "", IF('Raw Data'!C477 =  "", NOW(), 'Raw Data'!C477), "")</f>
        <v/>
      </c>
    </row>
    <row r="879" spans="4:4" x14ac:dyDescent="0.35">
      <c r="D879" s="7" t="str">
        <f ca="1">IF('Raw Data'!B478 &lt;&gt; "", IF('Raw Data'!C478 =  "", NOW(), 'Raw Data'!C478), "")</f>
        <v/>
      </c>
    </row>
    <row r="880" spans="4:4" x14ac:dyDescent="0.35">
      <c r="D880" s="7" t="str">
        <f ca="1">IF('Raw Data'!B479 &lt;&gt; "", IF('Raw Data'!C479 =  "", NOW(), 'Raw Data'!C479), "")</f>
        <v/>
      </c>
    </row>
    <row r="881" spans="4:4" x14ac:dyDescent="0.35">
      <c r="D881" s="7" t="str">
        <f ca="1">IF('Raw Data'!B480 &lt;&gt; "", IF('Raw Data'!C480 =  "", NOW(), 'Raw Data'!C480), "")</f>
        <v/>
      </c>
    </row>
    <row r="882" spans="4:4" x14ac:dyDescent="0.35">
      <c r="D882" s="7" t="str">
        <f ca="1">IF('Raw Data'!B481 &lt;&gt; "", IF('Raw Data'!C481 =  "", NOW(), 'Raw Data'!C481), "")</f>
        <v/>
      </c>
    </row>
    <row r="883" spans="4:4" x14ac:dyDescent="0.35">
      <c r="D883" s="7" t="str">
        <f ca="1">IF('Raw Data'!B482 &lt;&gt; "", IF('Raw Data'!C482 =  "", NOW(), 'Raw Data'!C482), "")</f>
        <v/>
      </c>
    </row>
    <row r="884" spans="4:4" x14ac:dyDescent="0.35">
      <c r="D884" s="7" t="str">
        <f ca="1">IF('Raw Data'!B483 &lt;&gt; "", IF('Raw Data'!C483 =  "", NOW(), 'Raw Data'!C483), "")</f>
        <v/>
      </c>
    </row>
    <row r="885" spans="4:4" x14ac:dyDescent="0.35">
      <c r="D885" s="7" t="str">
        <f ca="1">IF('Raw Data'!B484 &lt;&gt; "", IF('Raw Data'!C484 =  "", NOW(), 'Raw Data'!C484), "")</f>
        <v/>
      </c>
    </row>
    <row r="886" spans="4:4" x14ac:dyDescent="0.35">
      <c r="D886" s="7" t="str">
        <f ca="1">IF('Raw Data'!B485 &lt;&gt; "", IF('Raw Data'!C485 =  "", NOW(), 'Raw Data'!C485), "")</f>
        <v/>
      </c>
    </row>
    <row r="887" spans="4:4" x14ac:dyDescent="0.35">
      <c r="D887" s="7" t="str">
        <f ca="1">IF('Raw Data'!B486 &lt;&gt; "", IF('Raw Data'!C486 =  "", NOW(), 'Raw Data'!C486), "")</f>
        <v/>
      </c>
    </row>
    <row r="888" spans="4:4" x14ac:dyDescent="0.35">
      <c r="D888" s="7" t="str">
        <f ca="1">IF('Raw Data'!B487 &lt;&gt; "", IF('Raw Data'!C487 =  "", NOW(), 'Raw Data'!C487), "")</f>
        <v/>
      </c>
    </row>
    <row r="889" spans="4:4" x14ac:dyDescent="0.35">
      <c r="D889" s="7" t="str">
        <f ca="1">IF('Raw Data'!B488 &lt;&gt; "", IF('Raw Data'!C488 =  "", NOW(), 'Raw Data'!C488), "")</f>
        <v/>
      </c>
    </row>
    <row r="890" spans="4:4" x14ac:dyDescent="0.35">
      <c r="D890" s="7" t="str">
        <f ca="1">IF('Raw Data'!B489 &lt;&gt; "", IF('Raw Data'!C489 =  "", NOW(), 'Raw Data'!C489), "")</f>
        <v/>
      </c>
    </row>
    <row r="891" spans="4:4" x14ac:dyDescent="0.35">
      <c r="D891" s="7" t="str">
        <f ca="1">IF('Raw Data'!B490 &lt;&gt; "", IF('Raw Data'!C490 =  "", NOW(), 'Raw Data'!C490), "")</f>
        <v/>
      </c>
    </row>
    <row r="892" spans="4:4" x14ac:dyDescent="0.35">
      <c r="D892" s="7" t="str">
        <f ca="1">IF('Raw Data'!B491 &lt;&gt; "", IF('Raw Data'!C491 =  "", NOW(), 'Raw Data'!C491), "")</f>
        <v/>
      </c>
    </row>
    <row r="893" spans="4:4" x14ac:dyDescent="0.35">
      <c r="D893" s="7" t="str">
        <f ca="1">IF('Raw Data'!B492 &lt;&gt; "", IF('Raw Data'!C492 =  "", NOW(), 'Raw Data'!C492), "")</f>
        <v/>
      </c>
    </row>
    <row r="894" spans="4:4" x14ac:dyDescent="0.35">
      <c r="D894" s="7" t="str">
        <f ca="1">IF('Raw Data'!B493 &lt;&gt; "", IF('Raw Data'!C493 =  "", NOW(), 'Raw Data'!C493), "")</f>
        <v/>
      </c>
    </row>
    <row r="895" spans="4:4" x14ac:dyDescent="0.35">
      <c r="D895" s="7" t="str">
        <f ca="1">IF('Raw Data'!B494 &lt;&gt; "", IF('Raw Data'!C494 =  "", NOW(), 'Raw Data'!C494), "")</f>
        <v/>
      </c>
    </row>
    <row r="896" spans="4:4" x14ac:dyDescent="0.35">
      <c r="D896" s="7" t="str">
        <f ca="1">IF('Raw Data'!B495 &lt;&gt; "", IF('Raw Data'!C495 =  "", NOW(), 'Raw Data'!C495), "")</f>
        <v/>
      </c>
    </row>
    <row r="897" spans="4:4" x14ac:dyDescent="0.35">
      <c r="D897" s="7" t="str">
        <f ca="1">IF('Raw Data'!B496 &lt;&gt; "", IF('Raw Data'!C496 =  "", NOW(), 'Raw Data'!C496), "")</f>
        <v/>
      </c>
    </row>
    <row r="898" spans="4:4" x14ac:dyDescent="0.35">
      <c r="D898" s="7" t="str">
        <f ca="1">IF('Raw Data'!B497 &lt;&gt; "", IF('Raw Data'!C497 =  "", NOW(), 'Raw Data'!C497), "")</f>
        <v/>
      </c>
    </row>
    <row r="899" spans="4:4" x14ac:dyDescent="0.35">
      <c r="D899" s="7" t="str">
        <f ca="1">IF('Raw Data'!B498 &lt;&gt; "", IF('Raw Data'!C498 =  "", NOW(), 'Raw Data'!C498), "")</f>
        <v/>
      </c>
    </row>
    <row r="900" spans="4:4" x14ac:dyDescent="0.35">
      <c r="D900" s="7" t="str">
        <f ca="1">IF('Raw Data'!B499 &lt;&gt; "", IF('Raw Data'!C499 =  "", NOW(), 'Raw Data'!C499), "")</f>
        <v/>
      </c>
    </row>
    <row r="901" spans="4:4" x14ac:dyDescent="0.35">
      <c r="D901" s="7" t="str">
        <f ca="1">IF('Raw Data'!B500 &lt;&gt; "", IF('Raw Data'!C500 =  "", NOW(), 'Raw Data'!C500), "")</f>
        <v/>
      </c>
    </row>
    <row r="902" spans="4:4" x14ac:dyDescent="0.35">
      <c r="D902" s="7" t="str">
        <f ca="1">IF('Raw Data'!B501 &lt;&gt; "", IF('Raw Data'!C501 =  "", NOW(), 'Raw Data'!C501), "")</f>
        <v/>
      </c>
    </row>
    <row r="903" spans="4:4" x14ac:dyDescent="0.35">
      <c r="D903" s="7" t="str">
        <f ca="1">IF('Raw Data'!B502 &lt;&gt; "", IF('Raw Data'!C502 =  "", NOW(), 'Raw Data'!C502), "")</f>
        <v/>
      </c>
    </row>
    <row r="904" spans="4:4" x14ac:dyDescent="0.35">
      <c r="D904" s="7" t="str">
        <f ca="1">IF('Raw Data'!B503 &lt;&gt; "", IF('Raw Data'!C503 =  "", NOW(), 'Raw Data'!C503), "")</f>
        <v/>
      </c>
    </row>
    <row r="905" spans="4:4" x14ac:dyDescent="0.35">
      <c r="D905" s="7" t="str">
        <f ca="1">IF('Raw Data'!B504 &lt;&gt; "", IF('Raw Data'!C504 =  "", NOW(), 'Raw Data'!C504), "")</f>
        <v/>
      </c>
    </row>
    <row r="906" spans="4:4" x14ac:dyDescent="0.35">
      <c r="D906" s="7" t="str">
        <f ca="1">IF('Raw Data'!B505 &lt;&gt; "", IF('Raw Data'!C505 =  "", NOW(), 'Raw Data'!C505), "")</f>
        <v/>
      </c>
    </row>
    <row r="907" spans="4:4" x14ac:dyDescent="0.35">
      <c r="D907" s="7" t="str">
        <f ca="1">IF('Raw Data'!B506 &lt;&gt; "", IF('Raw Data'!C506 =  "", NOW(), 'Raw Data'!C506), "")</f>
        <v/>
      </c>
    </row>
    <row r="908" spans="4:4" x14ac:dyDescent="0.35">
      <c r="D908" s="7" t="str">
        <f ca="1">IF('Raw Data'!B507 &lt;&gt; "", IF('Raw Data'!C507 =  "", NOW(), 'Raw Data'!C507), "")</f>
        <v/>
      </c>
    </row>
    <row r="909" spans="4:4" x14ac:dyDescent="0.35">
      <c r="D909" s="7" t="str">
        <f ca="1">IF('Raw Data'!B508 &lt;&gt; "", IF('Raw Data'!C508 =  "", NOW(), 'Raw Data'!C508), "")</f>
        <v/>
      </c>
    </row>
    <row r="910" spans="4:4" x14ac:dyDescent="0.35">
      <c r="D910" s="7" t="str">
        <f ca="1">IF('Raw Data'!B509 &lt;&gt; "", IF('Raw Data'!C509 =  "", NOW(), 'Raw Data'!C509), "")</f>
        <v/>
      </c>
    </row>
    <row r="911" spans="4:4" x14ac:dyDescent="0.35">
      <c r="D911" s="7" t="str">
        <f ca="1">IF('Raw Data'!B510 &lt;&gt; "", IF('Raw Data'!C510 =  "", NOW(), 'Raw Data'!C510), "")</f>
        <v/>
      </c>
    </row>
    <row r="912" spans="4:4" x14ac:dyDescent="0.35">
      <c r="D912" s="7" t="str">
        <f ca="1">IF('Raw Data'!B511 &lt;&gt; "", IF('Raw Data'!C511 =  "", NOW(), 'Raw Data'!C511), "")</f>
        <v/>
      </c>
    </row>
    <row r="913" spans="4:4" x14ac:dyDescent="0.35">
      <c r="D913" s="7" t="str">
        <f ca="1">IF('Raw Data'!B512 &lt;&gt; "", IF('Raw Data'!C512 =  "", NOW(), 'Raw Data'!C512), "")</f>
        <v/>
      </c>
    </row>
    <row r="914" spans="4:4" x14ac:dyDescent="0.35">
      <c r="D914" s="7" t="str">
        <f ca="1">IF('Raw Data'!B513 &lt;&gt; "", IF('Raw Data'!C513 =  "", NOW(), 'Raw Data'!C513), "")</f>
        <v/>
      </c>
    </row>
    <row r="915" spans="4:4" x14ac:dyDescent="0.35">
      <c r="D915" s="7" t="str">
        <f ca="1">IF('Raw Data'!B514 &lt;&gt; "", IF('Raw Data'!C514 =  "", NOW(), 'Raw Data'!C514), "")</f>
        <v/>
      </c>
    </row>
    <row r="916" spans="4:4" x14ac:dyDescent="0.35">
      <c r="D916" s="7" t="str">
        <f ca="1">IF('Raw Data'!B515 &lt;&gt; "", IF('Raw Data'!C515 =  "", NOW(), 'Raw Data'!C515), "")</f>
        <v/>
      </c>
    </row>
    <row r="917" spans="4:4" x14ac:dyDescent="0.35">
      <c r="D917" s="7" t="str">
        <f ca="1">IF('Raw Data'!B516 &lt;&gt; "", IF('Raw Data'!C516 =  "", NOW(), 'Raw Data'!C516), "")</f>
        <v/>
      </c>
    </row>
    <row r="918" spans="4:4" x14ac:dyDescent="0.35">
      <c r="D918" s="7" t="str">
        <f ca="1">IF('Raw Data'!B517 &lt;&gt; "", IF('Raw Data'!C517 =  "", NOW(), 'Raw Data'!C517), "")</f>
        <v/>
      </c>
    </row>
    <row r="919" spans="4:4" x14ac:dyDescent="0.35">
      <c r="D919" s="7" t="str">
        <f ca="1">IF('Raw Data'!B518 &lt;&gt; "", IF('Raw Data'!C518 =  "", NOW(), 'Raw Data'!C518), "")</f>
        <v/>
      </c>
    </row>
    <row r="920" spans="4:4" x14ac:dyDescent="0.35">
      <c r="D920" s="7" t="str">
        <f ca="1">IF('Raw Data'!B519 &lt;&gt; "", IF('Raw Data'!C519 =  "", NOW(), 'Raw Data'!C519), "")</f>
        <v/>
      </c>
    </row>
    <row r="921" spans="4:4" x14ac:dyDescent="0.35">
      <c r="D921" s="7" t="str">
        <f ca="1">IF('Raw Data'!B520 &lt;&gt; "", IF('Raw Data'!C520 =  "", NOW(), 'Raw Data'!C520), "")</f>
        <v/>
      </c>
    </row>
    <row r="922" spans="4:4" x14ac:dyDescent="0.35">
      <c r="D922" s="7" t="str">
        <f ca="1">IF('Raw Data'!B521 &lt;&gt; "", IF('Raw Data'!C521 =  "", NOW(), 'Raw Data'!C521), "")</f>
        <v/>
      </c>
    </row>
    <row r="923" spans="4:4" x14ac:dyDescent="0.35">
      <c r="D923" s="7" t="str">
        <f ca="1">IF('Raw Data'!B522 &lt;&gt; "", IF('Raw Data'!C522 =  "", NOW(), 'Raw Data'!C522), "")</f>
        <v/>
      </c>
    </row>
    <row r="924" spans="4:4" x14ac:dyDescent="0.35">
      <c r="D924" s="7" t="str">
        <f ca="1">IF('Raw Data'!B523 &lt;&gt; "", IF('Raw Data'!C523 =  "", NOW(), 'Raw Data'!C523), "")</f>
        <v/>
      </c>
    </row>
    <row r="925" spans="4:4" x14ac:dyDescent="0.35">
      <c r="D925" s="7" t="str">
        <f ca="1">IF('Raw Data'!B524 &lt;&gt; "", IF('Raw Data'!C524 =  "", NOW(), 'Raw Data'!C524), "")</f>
        <v/>
      </c>
    </row>
    <row r="926" spans="4:4" x14ac:dyDescent="0.35">
      <c r="D926" s="7" t="str">
        <f ca="1">IF('Raw Data'!B525 &lt;&gt; "", IF('Raw Data'!C525 =  "", NOW(), 'Raw Data'!C525), "")</f>
        <v/>
      </c>
    </row>
    <row r="927" spans="4:4" x14ac:dyDescent="0.35">
      <c r="D927" s="7" t="str">
        <f ca="1">IF('Raw Data'!B526 &lt;&gt; "", IF('Raw Data'!C526 =  "", NOW(), 'Raw Data'!C526), "")</f>
        <v/>
      </c>
    </row>
    <row r="928" spans="4:4" x14ac:dyDescent="0.35">
      <c r="D928" s="7" t="str">
        <f ca="1">IF('Raw Data'!B527 &lt;&gt; "", IF('Raw Data'!C527 =  "", NOW(), 'Raw Data'!C527), "")</f>
        <v/>
      </c>
    </row>
    <row r="929" spans="4:4" x14ac:dyDescent="0.35">
      <c r="D929" s="7" t="str">
        <f ca="1">IF('Raw Data'!B528 &lt;&gt; "", IF('Raw Data'!C528 =  "", NOW(), 'Raw Data'!C528), "")</f>
        <v/>
      </c>
    </row>
    <row r="930" spans="4:4" x14ac:dyDescent="0.35">
      <c r="D930" s="7" t="str">
        <f ca="1">IF('Raw Data'!B529 &lt;&gt; "", IF('Raw Data'!C529 =  "", NOW(), 'Raw Data'!C529), "")</f>
        <v/>
      </c>
    </row>
    <row r="931" spans="4:4" x14ac:dyDescent="0.35">
      <c r="D931" s="7" t="str">
        <f ca="1">IF('Raw Data'!B530 &lt;&gt; "", IF('Raw Data'!C530 =  "", NOW(), 'Raw Data'!C530), "")</f>
        <v/>
      </c>
    </row>
    <row r="932" spans="4:4" x14ac:dyDescent="0.35">
      <c r="D932" s="7" t="str">
        <f ca="1">IF('Raw Data'!B531 &lt;&gt; "", IF('Raw Data'!C531 =  "", NOW(), 'Raw Data'!C531), "")</f>
        <v/>
      </c>
    </row>
    <row r="933" spans="4:4" x14ac:dyDescent="0.35">
      <c r="D933" s="7" t="str">
        <f ca="1">IF('Raw Data'!B532 &lt;&gt; "", IF('Raw Data'!C532 =  "", NOW(), 'Raw Data'!C532), "")</f>
        <v/>
      </c>
    </row>
    <row r="934" spans="4:4" x14ac:dyDescent="0.35">
      <c r="D934" s="7" t="str">
        <f ca="1">IF('Raw Data'!B533 &lt;&gt; "", IF('Raw Data'!C533 =  "", NOW(), 'Raw Data'!C533), "")</f>
        <v/>
      </c>
    </row>
    <row r="935" spans="4:4" x14ac:dyDescent="0.35">
      <c r="D935" s="7" t="str">
        <f ca="1">IF('Raw Data'!B534 &lt;&gt; "", IF('Raw Data'!C534 =  "", NOW(), 'Raw Data'!C534), "")</f>
        <v/>
      </c>
    </row>
    <row r="936" spans="4:4" x14ac:dyDescent="0.35">
      <c r="D936" s="7" t="str">
        <f ca="1">IF('Raw Data'!B535 &lt;&gt; "", IF('Raw Data'!C535 =  "", NOW(), 'Raw Data'!C535), "")</f>
        <v/>
      </c>
    </row>
    <row r="937" spans="4:4" x14ac:dyDescent="0.35">
      <c r="D937" s="7" t="str">
        <f ca="1">IF('Raw Data'!B536 &lt;&gt; "", IF('Raw Data'!C536 =  "", NOW(), 'Raw Data'!C536), "")</f>
        <v/>
      </c>
    </row>
    <row r="938" spans="4:4" x14ac:dyDescent="0.35">
      <c r="D938" s="7" t="str">
        <f ca="1">IF('Raw Data'!B537 &lt;&gt; "", IF('Raw Data'!C537 =  "", NOW(), 'Raw Data'!C537), "")</f>
        <v/>
      </c>
    </row>
    <row r="939" spans="4:4" x14ac:dyDescent="0.35">
      <c r="D939" s="7" t="str">
        <f ca="1">IF('Raw Data'!B538 &lt;&gt; "", IF('Raw Data'!C538 =  "", NOW(), 'Raw Data'!C538), "")</f>
        <v/>
      </c>
    </row>
    <row r="940" spans="4:4" x14ac:dyDescent="0.35">
      <c r="D940" s="7" t="str">
        <f ca="1">IF('Raw Data'!B539 &lt;&gt; "", IF('Raw Data'!C539 =  "", NOW(), 'Raw Data'!C539), "")</f>
        <v/>
      </c>
    </row>
    <row r="941" spans="4:4" x14ac:dyDescent="0.35">
      <c r="D941" s="7" t="str">
        <f ca="1">IF('Raw Data'!B540 &lt;&gt; "", IF('Raw Data'!C540 =  "", NOW(), 'Raw Data'!C540), "")</f>
        <v/>
      </c>
    </row>
    <row r="942" spans="4:4" x14ac:dyDescent="0.35">
      <c r="D942" s="7" t="str">
        <f ca="1">IF('Raw Data'!B541 &lt;&gt; "", IF('Raw Data'!C541 =  "", NOW(), 'Raw Data'!C541), "")</f>
        <v/>
      </c>
    </row>
    <row r="943" spans="4:4" x14ac:dyDescent="0.35">
      <c r="D943" s="7" t="str">
        <f ca="1">IF('Raw Data'!B542 &lt;&gt; "", IF('Raw Data'!C542 =  "", NOW(), 'Raw Data'!C542), "")</f>
        <v/>
      </c>
    </row>
    <row r="944" spans="4:4" x14ac:dyDescent="0.35">
      <c r="D944" s="7" t="str">
        <f ca="1">IF('Raw Data'!B543 &lt;&gt; "", IF('Raw Data'!C543 =  "", NOW(), 'Raw Data'!C543), "")</f>
        <v/>
      </c>
    </row>
    <row r="945" spans="4:4" x14ac:dyDescent="0.35">
      <c r="D945" s="7" t="str">
        <f ca="1">IF('Raw Data'!B544 &lt;&gt; "", IF('Raw Data'!C544 =  "", NOW(), 'Raw Data'!C544), "")</f>
        <v/>
      </c>
    </row>
    <row r="946" spans="4:4" x14ac:dyDescent="0.35">
      <c r="D946" s="7" t="str">
        <f ca="1">IF('Raw Data'!B545 &lt;&gt; "", IF('Raw Data'!C545 =  "", NOW(), 'Raw Data'!C545), "")</f>
        <v/>
      </c>
    </row>
    <row r="947" spans="4:4" x14ac:dyDescent="0.35">
      <c r="D947" s="7" t="str">
        <f ca="1">IF('Raw Data'!B546 &lt;&gt; "", IF('Raw Data'!C546 =  "", NOW(), 'Raw Data'!C546), "")</f>
        <v/>
      </c>
    </row>
    <row r="948" spans="4:4" x14ac:dyDescent="0.35">
      <c r="D948" s="7" t="str">
        <f ca="1">IF('Raw Data'!B547 &lt;&gt; "", IF('Raw Data'!C547 =  "", NOW(), 'Raw Data'!C547), "")</f>
        <v/>
      </c>
    </row>
    <row r="949" spans="4:4" x14ac:dyDescent="0.35">
      <c r="D949" s="7" t="str">
        <f ca="1">IF('Raw Data'!B548 &lt;&gt; "", IF('Raw Data'!C548 =  "", NOW(), 'Raw Data'!C548), "")</f>
        <v/>
      </c>
    </row>
    <row r="950" spans="4:4" x14ac:dyDescent="0.35">
      <c r="D950" s="7" t="str">
        <f ca="1">IF('Raw Data'!B549 &lt;&gt; "", IF('Raw Data'!C549 =  "", NOW(), 'Raw Data'!C549), "")</f>
        <v/>
      </c>
    </row>
    <row r="951" spans="4:4" x14ac:dyDescent="0.35">
      <c r="D951" s="7" t="str">
        <f ca="1">IF('Raw Data'!B550 &lt;&gt; "", IF('Raw Data'!C550 =  "", NOW(), 'Raw Data'!C550), "")</f>
        <v/>
      </c>
    </row>
    <row r="952" spans="4:4" x14ac:dyDescent="0.35">
      <c r="D952" s="7" t="str">
        <f ca="1">IF('Raw Data'!B551 &lt;&gt; "", IF('Raw Data'!C551 =  "", NOW(), 'Raw Data'!C551), "")</f>
        <v/>
      </c>
    </row>
    <row r="953" spans="4:4" x14ac:dyDescent="0.35">
      <c r="D953" s="7" t="str">
        <f ca="1">IF('Raw Data'!B552 &lt;&gt; "", IF('Raw Data'!C552 =  "", NOW(), 'Raw Data'!C552), "")</f>
        <v/>
      </c>
    </row>
    <row r="954" spans="4:4" x14ac:dyDescent="0.35">
      <c r="D954" s="7" t="str">
        <f ca="1">IF('Raw Data'!B553 &lt;&gt; "", IF('Raw Data'!C553 =  "", NOW(), 'Raw Data'!C553), "")</f>
        <v/>
      </c>
    </row>
    <row r="955" spans="4:4" x14ac:dyDescent="0.35">
      <c r="D955" s="7" t="str">
        <f ca="1">IF('Raw Data'!B554 &lt;&gt; "", IF('Raw Data'!C554 =  "", NOW(), 'Raw Data'!C554), "")</f>
        <v/>
      </c>
    </row>
    <row r="956" spans="4:4" x14ac:dyDescent="0.35">
      <c r="D956" s="7" t="str">
        <f ca="1">IF('Raw Data'!B555 &lt;&gt; "", IF('Raw Data'!C555 =  "", NOW(), 'Raw Data'!C555), "")</f>
        <v/>
      </c>
    </row>
    <row r="957" spans="4:4" x14ac:dyDescent="0.35">
      <c r="D957" s="7" t="str">
        <f ca="1">IF('Raw Data'!B556 &lt;&gt; "", IF('Raw Data'!C556 =  "", NOW(), 'Raw Data'!C556), "")</f>
        <v/>
      </c>
    </row>
    <row r="958" spans="4:4" x14ac:dyDescent="0.35">
      <c r="D958" s="7" t="str">
        <f ca="1">IF('Raw Data'!B557 &lt;&gt; "", IF('Raw Data'!C557 =  "", NOW(), 'Raw Data'!C557), "")</f>
        <v/>
      </c>
    </row>
    <row r="959" spans="4:4" x14ac:dyDescent="0.35">
      <c r="D959" s="7" t="str">
        <f ca="1">IF('Raw Data'!B558 &lt;&gt; "", IF('Raw Data'!C558 =  "", NOW(), 'Raw Data'!C558), "")</f>
        <v/>
      </c>
    </row>
    <row r="960" spans="4:4" x14ac:dyDescent="0.35">
      <c r="D960" s="7" t="str">
        <f ca="1">IF('Raw Data'!B559 &lt;&gt; "", IF('Raw Data'!C559 =  "", NOW(), 'Raw Data'!C559), "")</f>
        <v/>
      </c>
    </row>
    <row r="961" spans="4:4" x14ac:dyDescent="0.35">
      <c r="D961" s="7" t="str">
        <f ca="1">IF('Raw Data'!B560 &lt;&gt; "", IF('Raw Data'!C560 =  "", NOW(), 'Raw Data'!C560), "")</f>
        <v/>
      </c>
    </row>
    <row r="962" spans="4:4" x14ac:dyDescent="0.35">
      <c r="D962" s="7" t="str">
        <f ca="1">IF('Raw Data'!B561 &lt;&gt; "", IF('Raw Data'!C561 =  "", NOW(), 'Raw Data'!C561), "")</f>
        <v/>
      </c>
    </row>
    <row r="963" spans="4:4" x14ac:dyDescent="0.35">
      <c r="D963" s="7" t="str">
        <f ca="1">IF('Raw Data'!B562 &lt;&gt; "", IF('Raw Data'!C562 =  "", NOW(), 'Raw Data'!C562), "")</f>
        <v/>
      </c>
    </row>
    <row r="964" spans="4:4" x14ac:dyDescent="0.35">
      <c r="D964" s="7" t="str">
        <f ca="1">IF('Raw Data'!B563 &lt;&gt; "", IF('Raw Data'!C563 =  "", NOW(), 'Raw Data'!C563), "")</f>
        <v/>
      </c>
    </row>
    <row r="965" spans="4:4" x14ac:dyDescent="0.35">
      <c r="D965" s="7" t="str">
        <f ca="1">IF('Raw Data'!B564 &lt;&gt; "", IF('Raw Data'!C564 =  "", NOW(), 'Raw Data'!C564), "")</f>
        <v/>
      </c>
    </row>
    <row r="966" spans="4:4" x14ac:dyDescent="0.35">
      <c r="D966" s="7" t="str">
        <f ca="1">IF('Raw Data'!B565 &lt;&gt; "", IF('Raw Data'!C565 =  "", NOW(), 'Raw Data'!C565), "")</f>
        <v/>
      </c>
    </row>
    <row r="967" spans="4:4" x14ac:dyDescent="0.35">
      <c r="D967" s="7" t="str">
        <f ca="1">IF('Raw Data'!B566 &lt;&gt; "", IF('Raw Data'!C566 =  "", NOW(), 'Raw Data'!C566), "")</f>
        <v/>
      </c>
    </row>
    <row r="968" spans="4:4" x14ac:dyDescent="0.35">
      <c r="D968" s="7" t="str">
        <f ca="1">IF('Raw Data'!B567 &lt;&gt; "", IF('Raw Data'!C567 =  "", NOW(), 'Raw Data'!C567), "")</f>
        <v/>
      </c>
    </row>
    <row r="969" spans="4:4" x14ac:dyDescent="0.35">
      <c r="D969" s="7" t="str">
        <f ca="1">IF('Raw Data'!B568 &lt;&gt; "", IF('Raw Data'!C568 =  "", NOW(), 'Raw Data'!C568), "")</f>
        <v/>
      </c>
    </row>
    <row r="970" spans="4:4" x14ac:dyDescent="0.35">
      <c r="D970" s="7" t="str">
        <f ca="1">IF('Raw Data'!B569 &lt;&gt; "", IF('Raw Data'!C569 =  "", NOW(), 'Raw Data'!C569), "")</f>
        <v/>
      </c>
    </row>
    <row r="971" spans="4:4" x14ac:dyDescent="0.35">
      <c r="D971" s="7" t="str">
        <f ca="1">IF('Raw Data'!B570 &lt;&gt; "", IF('Raw Data'!C570 =  "", NOW(), 'Raw Data'!C570), "")</f>
        <v/>
      </c>
    </row>
    <row r="972" spans="4:4" x14ac:dyDescent="0.35">
      <c r="D972" s="7" t="str">
        <f ca="1">IF('Raw Data'!B571 &lt;&gt; "", IF('Raw Data'!C571 =  "", NOW(), 'Raw Data'!C571), "")</f>
        <v/>
      </c>
    </row>
    <row r="973" spans="4:4" x14ac:dyDescent="0.35">
      <c r="D973" s="7" t="str">
        <f ca="1">IF('Raw Data'!B572 &lt;&gt; "", IF('Raw Data'!C572 =  "", NOW(), 'Raw Data'!C572), "")</f>
        <v/>
      </c>
    </row>
    <row r="974" spans="4:4" x14ac:dyDescent="0.35">
      <c r="D974" s="7" t="str">
        <f ca="1">IF('Raw Data'!B573 &lt;&gt; "", IF('Raw Data'!C573 =  "", NOW(), 'Raw Data'!C573), "")</f>
        <v/>
      </c>
    </row>
    <row r="975" spans="4:4" x14ac:dyDescent="0.35">
      <c r="D975" s="7" t="str">
        <f ca="1">IF('Raw Data'!B574 &lt;&gt; "", IF('Raw Data'!C574 =  "", NOW(), 'Raw Data'!C574), "")</f>
        <v/>
      </c>
    </row>
    <row r="976" spans="4:4" x14ac:dyDescent="0.35">
      <c r="D976" s="7" t="str">
        <f ca="1">IF('Raw Data'!B575 &lt;&gt; "", IF('Raw Data'!C575 =  "", NOW(), 'Raw Data'!C575), "")</f>
        <v/>
      </c>
    </row>
    <row r="977" spans="4:4" x14ac:dyDescent="0.35">
      <c r="D977" s="7" t="str">
        <f ca="1">IF('Raw Data'!B576 &lt;&gt; "", IF('Raw Data'!C576 =  "", NOW(), 'Raw Data'!C576), "")</f>
        <v/>
      </c>
    </row>
    <row r="978" spans="4:4" x14ac:dyDescent="0.35">
      <c r="D978" s="7" t="str">
        <f ca="1">IF('Raw Data'!B577 &lt;&gt; "", IF('Raw Data'!C577 =  "", NOW(), 'Raw Data'!C577), "")</f>
        <v/>
      </c>
    </row>
    <row r="979" spans="4:4" x14ac:dyDescent="0.35">
      <c r="D979" s="7" t="str">
        <f ca="1">IF('Raw Data'!B578 &lt;&gt; "", IF('Raw Data'!C578 =  "", NOW(), 'Raw Data'!C578), "")</f>
        <v/>
      </c>
    </row>
    <row r="980" spans="4:4" x14ac:dyDescent="0.35">
      <c r="D980" s="7" t="str">
        <f ca="1">IF('Raw Data'!B579 &lt;&gt; "", IF('Raw Data'!C579 =  "", NOW(), 'Raw Data'!C579), "")</f>
        <v/>
      </c>
    </row>
    <row r="981" spans="4:4" x14ac:dyDescent="0.35">
      <c r="D981" s="7" t="str">
        <f ca="1">IF('Raw Data'!B580 &lt;&gt; "", IF('Raw Data'!C580 =  "", NOW(), 'Raw Data'!C580), "")</f>
        <v/>
      </c>
    </row>
    <row r="982" spans="4:4" x14ac:dyDescent="0.35">
      <c r="D982" s="7" t="str">
        <f ca="1">IF('Raw Data'!B581 &lt;&gt; "", IF('Raw Data'!C581 =  "", NOW(), 'Raw Data'!C581), "")</f>
        <v/>
      </c>
    </row>
    <row r="983" spans="4:4" x14ac:dyDescent="0.35">
      <c r="D983" s="7" t="str">
        <f ca="1">IF('Raw Data'!B582 &lt;&gt; "", IF('Raw Data'!C582 =  "", NOW(), 'Raw Data'!C582), "")</f>
        <v/>
      </c>
    </row>
    <row r="984" spans="4:4" x14ac:dyDescent="0.35">
      <c r="D984" s="7" t="str">
        <f ca="1">IF('Raw Data'!B583 &lt;&gt; "", IF('Raw Data'!C583 =  "", NOW(), 'Raw Data'!C583), "")</f>
        <v/>
      </c>
    </row>
    <row r="985" spans="4:4" x14ac:dyDescent="0.35">
      <c r="D985" s="7" t="str">
        <f ca="1">IF('Raw Data'!B584 &lt;&gt; "", IF('Raw Data'!C584 =  "", NOW(), 'Raw Data'!C584), "")</f>
        <v/>
      </c>
    </row>
    <row r="986" spans="4:4" x14ac:dyDescent="0.35">
      <c r="D986" s="7" t="str">
        <f ca="1">IF('Raw Data'!B585 &lt;&gt; "", IF('Raw Data'!C585 =  "", NOW(), 'Raw Data'!C585), "")</f>
        <v/>
      </c>
    </row>
    <row r="987" spans="4:4" x14ac:dyDescent="0.35">
      <c r="D987" s="7" t="str">
        <f ca="1">IF('Raw Data'!B586 &lt;&gt; "", IF('Raw Data'!C586 =  "", NOW(), 'Raw Data'!C586), "")</f>
        <v/>
      </c>
    </row>
    <row r="988" spans="4:4" x14ac:dyDescent="0.35">
      <c r="D988" s="7" t="str">
        <f ca="1">IF('Raw Data'!B587 &lt;&gt; "", IF('Raw Data'!C587 =  "", NOW(), 'Raw Data'!C587), "")</f>
        <v/>
      </c>
    </row>
    <row r="989" spans="4:4" x14ac:dyDescent="0.35">
      <c r="D989" s="7" t="str">
        <f ca="1">IF('Raw Data'!B588 &lt;&gt; "", IF('Raw Data'!C588 =  "", NOW(), 'Raw Data'!C588), "")</f>
        <v/>
      </c>
    </row>
    <row r="990" spans="4:4" x14ac:dyDescent="0.35">
      <c r="D990" s="7" t="str">
        <f ca="1">IF('Raw Data'!B589 &lt;&gt; "", IF('Raw Data'!C589 =  "", NOW(), 'Raw Data'!C589), "")</f>
        <v/>
      </c>
    </row>
    <row r="991" spans="4:4" x14ac:dyDescent="0.35">
      <c r="D991" s="7" t="str">
        <f ca="1">IF('Raw Data'!B590 &lt;&gt; "", IF('Raw Data'!C590 =  "", NOW(), 'Raw Data'!C590), "")</f>
        <v/>
      </c>
    </row>
    <row r="992" spans="4:4" x14ac:dyDescent="0.35">
      <c r="D992" s="7" t="str">
        <f ca="1">IF('Raw Data'!B591 &lt;&gt; "", IF('Raw Data'!C591 =  "", NOW(), 'Raw Data'!C591), "")</f>
        <v/>
      </c>
    </row>
    <row r="993" spans="4:4" x14ac:dyDescent="0.35">
      <c r="D993" s="7" t="str">
        <f ca="1">IF('Raw Data'!B592 &lt;&gt; "", IF('Raw Data'!C592 =  "", NOW(), 'Raw Data'!C592), "")</f>
        <v/>
      </c>
    </row>
    <row r="994" spans="4:4" x14ac:dyDescent="0.35">
      <c r="D994" s="7" t="str">
        <f ca="1">IF('Raw Data'!B593 &lt;&gt; "", IF('Raw Data'!C593 =  "", NOW(), 'Raw Data'!C593), "")</f>
        <v/>
      </c>
    </row>
    <row r="995" spans="4:4" x14ac:dyDescent="0.35">
      <c r="D995" s="7" t="str">
        <f ca="1">IF('Raw Data'!B594 &lt;&gt; "", IF('Raw Data'!C594 =  "", NOW(), 'Raw Data'!C594), "")</f>
        <v/>
      </c>
    </row>
    <row r="996" spans="4:4" x14ac:dyDescent="0.35">
      <c r="D996" s="7" t="str">
        <f ca="1">IF('Raw Data'!B595 &lt;&gt; "", IF('Raw Data'!C595 =  "", NOW(), 'Raw Data'!C595), "")</f>
        <v/>
      </c>
    </row>
    <row r="997" spans="4:4" x14ac:dyDescent="0.35">
      <c r="D997" s="7" t="str">
        <f ca="1">IF('Raw Data'!B596 &lt;&gt; "", IF('Raw Data'!C596 =  "", NOW(), 'Raw Data'!C596), "")</f>
        <v/>
      </c>
    </row>
    <row r="998" spans="4:4" x14ac:dyDescent="0.35">
      <c r="D998" s="7" t="str">
        <f ca="1">IF('Raw Data'!B597 &lt;&gt; "", IF('Raw Data'!C597 =  "", NOW(), 'Raw Data'!C597), "")</f>
        <v/>
      </c>
    </row>
    <row r="999" spans="4:4" x14ac:dyDescent="0.35">
      <c r="D999" s="7" t="str">
        <f ca="1">IF('Raw Data'!B598 &lt;&gt; "", IF('Raw Data'!C598 =  "", NOW(), 'Raw Data'!C598), "")</f>
        <v/>
      </c>
    </row>
    <row r="1000" spans="4:4" x14ac:dyDescent="0.35">
      <c r="D1000" s="7" t="str">
        <f ca="1">IF('Raw Data'!B599 &lt;&gt; "", IF('Raw Data'!C599 =  "", NOW(), 'Raw Data'!C599), "")</f>
        <v/>
      </c>
    </row>
    <row r="1001" spans="4:4" x14ac:dyDescent="0.35">
      <c r="D1001" s="7" t="str">
        <f ca="1">IF('Raw Data'!B600 &lt;&gt; "", IF('Raw Data'!C600 =  "", NOW(), 'Raw Data'!C600), "")</f>
        <v/>
      </c>
    </row>
    <row r="1002" spans="4:4" x14ac:dyDescent="0.35">
      <c r="D1002" s="7" t="str">
        <f ca="1">IF('Raw Data'!B601 &lt;&gt; "", IF('Raw Data'!C601 =  "", NOW(), 'Raw Data'!C601), "")</f>
        <v/>
      </c>
    </row>
    <row r="1003" spans="4:4" x14ac:dyDescent="0.35">
      <c r="D1003" s="7" t="str">
        <f ca="1">IF('Raw Data'!B602 &lt;&gt; "", IF('Raw Data'!C602 =  "", NOW(), 'Raw Data'!C602), "")</f>
        <v/>
      </c>
    </row>
    <row r="1004" spans="4:4" x14ac:dyDescent="0.35">
      <c r="D1004" s="7" t="str">
        <f ca="1">IF('Raw Data'!B603 &lt;&gt; "", IF('Raw Data'!C603 =  "", NOW(), 'Raw Data'!C603), "")</f>
        <v/>
      </c>
    </row>
    <row r="1005" spans="4:4" x14ac:dyDescent="0.35">
      <c r="D1005" s="7" t="str">
        <f ca="1">IF('Raw Data'!B604 &lt;&gt; "", IF('Raw Data'!C604 =  "", NOW(), 'Raw Data'!C604), "")</f>
        <v/>
      </c>
    </row>
    <row r="1006" spans="4:4" x14ac:dyDescent="0.35">
      <c r="D1006" s="7" t="str">
        <f ca="1">IF('Raw Data'!B605 &lt;&gt; "", IF('Raw Data'!C605 =  "", NOW(), 'Raw Data'!C605), "")</f>
        <v/>
      </c>
    </row>
    <row r="1007" spans="4:4" x14ac:dyDescent="0.35">
      <c r="D1007" s="7" t="str">
        <f ca="1">IF('Raw Data'!B606 &lt;&gt; "", IF('Raw Data'!C606 =  "", NOW(), 'Raw Data'!C606), "")</f>
        <v/>
      </c>
    </row>
    <row r="1008" spans="4:4" x14ac:dyDescent="0.35">
      <c r="D1008" s="7" t="str">
        <f ca="1">IF('Raw Data'!B607 &lt;&gt; "", IF('Raw Data'!C607 =  "", NOW(), 'Raw Data'!C607), "")</f>
        <v/>
      </c>
    </row>
    <row r="1009" spans="4:4" x14ac:dyDescent="0.35">
      <c r="D1009" s="7" t="str">
        <f ca="1">IF('Raw Data'!B608 &lt;&gt; "", IF('Raw Data'!C608 =  "", NOW(), 'Raw Data'!C608), "")</f>
        <v/>
      </c>
    </row>
    <row r="1010" spans="4:4" x14ac:dyDescent="0.35">
      <c r="D1010" s="7" t="str">
        <f ca="1">IF('Raw Data'!B609 &lt;&gt; "", IF('Raw Data'!C609 =  "", NOW(), 'Raw Data'!C609), "")</f>
        <v/>
      </c>
    </row>
    <row r="1011" spans="4:4" x14ac:dyDescent="0.35">
      <c r="D1011" s="7" t="str">
        <f ca="1">IF('Raw Data'!B610 &lt;&gt; "", IF('Raw Data'!C610 =  "", NOW(), 'Raw Data'!C610), "")</f>
        <v/>
      </c>
    </row>
    <row r="1012" spans="4:4" x14ac:dyDescent="0.35">
      <c r="D1012" s="7" t="str">
        <f ca="1">IF('Raw Data'!B611 &lt;&gt; "", IF('Raw Data'!C611 =  "", NOW(), 'Raw Data'!C611), "")</f>
        <v/>
      </c>
    </row>
    <row r="1013" spans="4:4" x14ac:dyDescent="0.35">
      <c r="D1013" s="7" t="str">
        <f ca="1">IF('Raw Data'!B612 &lt;&gt; "", IF('Raw Data'!C612 =  "", NOW(), 'Raw Data'!C612), "")</f>
        <v/>
      </c>
    </row>
    <row r="1014" spans="4:4" x14ac:dyDescent="0.35">
      <c r="D1014" s="7" t="str">
        <f ca="1">IF('Raw Data'!B613 &lt;&gt; "", IF('Raw Data'!C613 =  "", NOW(), 'Raw Data'!C613), "")</f>
        <v/>
      </c>
    </row>
    <row r="1015" spans="4:4" x14ac:dyDescent="0.35">
      <c r="D1015" s="7" t="str">
        <f ca="1">IF('Raw Data'!B614 &lt;&gt; "", IF('Raw Data'!C614 =  "", NOW(), 'Raw Data'!C614), "")</f>
        <v/>
      </c>
    </row>
    <row r="1016" spans="4:4" x14ac:dyDescent="0.35">
      <c r="D1016" s="7" t="str">
        <f ca="1">IF('Raw Data'!B615 &lt;&gt; "", IF('Raw Data'!C615 =  "", NOW(), 'Raw Data'!C615), "")</f>
        <v/>
      </c>
    </row>
    <row r="1017" spans="4:4" x14ac:dyDescent="0.35">
      <c r="D1017" s="7" t="str">
        <f ca="1">IF('Raw Data'!B616 &lt;&gt; "", IF('Raw Data'!C616 =  "", NOW(), 'Raw Data'!C616), "")</f>
        <v/>
      </c>
    </row>
    <row r="1018" spans="4:4" x14ac:dyDescent="0.35">
      <c r="D1018" s="7" t="str">
        <f ca="1">IF('Raw Data'!B617 &lt;&gt; "", IF('Raw Data'!C617 =  "", NOW(), 'Raw Data'!C617), "")</f>
        <v/>
      </c>
    </row>
    <row r="1019" spans="4:4" x14ac:dyDescent="0.35">
      <c r="D1019" s="7" t="str">
        <f ca="1">IF('Raw Data'!B618 &lt;&gt; "", IF('Raw Data'!C618 =  "", NOW(), 'Raw Data'!C618), "")</f>
        <v/>
      </c>
    </row>
    <row r="1020" spans="4:4" x14ac:dyDescent="0.35">
      <c r="D1020" s="7" t="str">
        <f ca="1">IF('Raw Data'!B619 &lt;&gt; "", IF('Raw Data'!C619 =  "", NOW(), 'Raw Data'!C619), "")</f>
        <v/>
      </c>
    </row>
    <row r="1021" spans="4:4" x14ac:dyDescent="0.35">
      <c r="D1021" s="7" t="str">
        <f ca="1">IF('Raw Data'!B620 &lt;&gt; "", IF('Raw Data'!C620 =  "", NOW(), 'Raw Data'!C620), "")</f>
        <v/>
      </c>
    </row>
    <row r="1022" spans="4:4" x14ac:dyDescent="0.35">
      <c r="D1022" s="7" t="str">
        <f ca="1">IF('Raw Data'!B621 &lt;&gt; "", IF('Raw Data'!C621 =  "", NOW(), 'Raw Data'!C621), "")</f>
        <v/>
      </c>
    </row>
    <row r="1023" spans="4:4" x14ac:dyDescent="0.35">
      <c r="D1023" s="7" t="str">
        <f ca="1">IF('Raw Data'!B622 &lt;&gt; "", IF('Raw Data'!C622 =  "", NOW(), 'Raw Data'!C622), "")</f>
        <v/>
      </c>
    </row>
    <row r="1024" spans="4:4" x14ac:dyDescent="0.35">
      <c r="D1024" s="7" t="str">
        <f ca="1">IF('Raw Data'!B623 &lt;&gt; "", IF('Raw Data'!C623 =  "", NOW(), 'Raw Data'!C623), "")</f>
        <v/>
      </c>
    </row>
    <row r="1025" spans="4:4" x14ac:dyDescent="0.35">
      <c r="D1025" s="7" t="str">
        <f ca="1">IF('Raw Data'!B624 &lt;&gt; "", IF('Raw Data'!C624 =  "", NOW(), 'Raw Data'!C624), "")</f>
        <v/>
      </c>
    </row>
    <row r="1026" spans="4:4" x14ac:dyDescent="0.35">
      <c r="D1026" s="7" t="str">
        <f ca="1">IF('Raw Data'!B625 &lt;&gt; "", IF('Raw Data'!C625 =  "", NOW(), 'Raw Data'!C625), "")</f>
        <v/>
      </c>
    </row>
    <row r="1027" spans="4:4" x14ac:dyDescent="0.35">
      <c r="D1027" s="7" t="str">
        <f ca="1">IF('Raw Data'!B626 &lt;&gt; "", IF('Raw Data'!C626 =  "", NOW(), 'Raw Data'!C626), "")</f>
        <v/>
      </c>
    </row>
    <row r="1028" spans="4:4" x14ac:dyDescent="0.35">
      <c r="D1028" s="7" t="str">
        <f ca="1">IF('Raw Data'!B627 &lt;&gt; "", IF('Raw Data'!C627 =  "", NOW(), 'Raw Data'!C627), "")</f>
        <v/>
      </c>
    </row>
    <row r="1029" spans="4:4" x14ac:dyDescent="0.35">
      <c r="D1029" s="7" t="str">
        <f ca="1">IF('Raw Data'!B628 &lt;&gt; "", IF('Raw Data'!C628 =  "", NOW(), 'Raw Data'!C628), "")</f>
        <v/>
      </c>
    </row>
    <row r="1030" spans="4:4" x14ac:dyDescent="0.35">
      <c r="D1030" s="7" t="str">
        <f ca="1">IF('Raw Data'!B629 &lt;&gt; "", IF('Raw Data'!C629 =  "", NOW(), 'Raw Data'!C629), "")</f>
        <v/>
      </c>
    </row>
    <row r="1031" spans="4:4" x14ac:dyDescent="0.35">
      <c r="D1031" s="7" t="str">
        <f ca="1">IF('Raw Data'!B630 &lt;&gt; "", IF('Raw Data'!C630 =  "", NOW(), 'Raw Data'!C630), "")</f>
        <v/>
      </c>
    </row>
    <row r="1032" spans="4:4" x14ac:dyDescent="0.35">
      <c r="D1032" s="7" t="str">
        <f ca="1">IF('Raw Data'!B631 &lt;&gt; "", IF('Raw Data'!C631 =  "", NOW(), 'Raw Data'!C631), "")</f>
        <v/>
      </c>
    </row>
    <row r="1033" spans="4:4" x14ac:dyDescent="0.35">
      <c r="D1033" s="7" t="str">
        <f ca="1">IF('Raw Data'!B632 &lt;&gt; "", IF('Raw Data'!C632 =  "", NOW(), 'Raw Data'!C632), "")</f>
        <v/>
      </c>
    </row>
    <row r="1034" spans="4:4" x14ac:dyDescent="0.35">
      <c r="D1034" s="7" t="str">
        <f ca="1">IF('Raw Data'!B633 &lt;&gt; "", IF('Raw Data'!C633 =  "", NOW(), 'Raw Data'!C633), "")</f>
        <v/>
      </c>
    </row>
    <row r="1035" spans="4:4" x14ac:dyDescent="0.35">
      <c r="D1035" s="7" t="str">
        <f ca="1">IF('Raw Data'!B634 &lt;&gt; "", IF('Raw Data'!C634 =  "", NOW(), 'Raw Data'!C634), "")</f>
        <v/>
      </c>
    </row>
    <row r="1036" spans="4:4" x14ac:dyDescent="0.35">
      <c r="D1036" s="7" t="str">
        <f ca="1">IF('Raw Data'!B635 &lt;&gt; "", IF('Raw Data'!C635 =  "", NOW(), 'Raw Data'!C635), "")</f>
        <v/>
      </c>
    </row>
    <row r="1037" spans="4:4" x14ac:dyDescent="0.35">
      <c r="D1037" s="7" t="str">
        <f ca="1">IF('Raw Data'!B636 &lt;&gt; "", IF('Raw Data'!C636 =  "", NOW(), 'Raw Data'!C636), "")</f>
        <v/>
      </c>
    </row>
    <row r="1038" spans="4:4" x14ac:dyDescent="0.35">
      <c r="D1038" s="7" t="str">
        <f ca="1">IF('Raw Data'!B637 &lt;&gt; "", IF('Raw Data'!C637 =  "", NOW(), 'Raw Data'!C637), "")</f>
        <v/>
      </c>
    </row>
    <row r="1039" spans="4:4" x14ac:dyDescent="0.35">
      <c r="D1039" s="7" t="str">
        <f ca="1">IF('Raw Data'!B638 &lt;&gt; "", IF('Raw Data'!C638 =  "", NOW(), 'Raw Data'!C638), "")</f>
        <v/>
      </c>
    </row>
    <row r="1040" spans="4:4" x14ac:dyDescent="0.35">
      <c r="D1040" s="7" t="str">
        <f ca="1">IF('Raw Data'!B639 &lt;&gt; "", IF('Raw Data'!C639 =  "", NOW(), 'Raw Data'!C639), "")</f>
        <v/>
      </c>
    </row>
    <row r="1041" spans="4:4" x14ac:dyDescent="0.35">
      <c r="D1041" s="7" t="str">
        <f ca="1">IF('Raw Data'!B640 &lt;&gt; "", IF('Raw Data'!C640 =  "", NOW(), 'Raw Data'!C640), "")</f>
        <v/>
      </c>
    </row>
    <row r="1042" spans="4:4" x14ac:dyDescent="0.35">
      <c r="D1042" s="7" t="str">
        <f ca="1">IF('Raw Data'!B641 &lt;&gt; "", IF('Raw Data'!C641 =  "", NOW(), 'Raw Data'!C641), "")</f>
        <v/>
      </c>
    </row>
    <row r="1043" spans="4:4" x14ac:dyDescent="0.35">
      <c r="D1043" s="7" t="str">
        <f ca="1">IF('Raw Data'!B642 &lt;&gt; "", IF('Raw Data'!C642 =  "", NOW(), 'Raw Data'!C642), "")</f>
        <v/>
      </c>
    </row>
    <row r="1044" spans="4:4" x14ac:dyDescent="0.35">
      <c r="D1044" s="7" t="str">
        <f ca="1">IF('Raw Data'!B643 &lt;&gt; "", IF('Raw Data'!C643 =  "", NOW(), 'Raw Data'!C643), "")</f>
        <v/>
      </c>
    </row>
    <row r="1045" spans="4:4" x14ac:dyDescent="0.35">
      <c r="D1045" s="7" t="str">
        <f ca="1">IF('Raw Data'!B644 &lt;&gt; "", IF('Raw Data'!C644 =  "", NOW(), 'Raw Data'!C644), "")</f>
        <v/>
      </c>
    </row>
    <row r="1046" spans="4:4" x14ac:dyDescent="0.35">
      <c r="D1046" s="7" t="str">
        <f ca="1">IF('Raw Data'!B645 &lt;&gt; "", IF('Raw Data'!C645 =  "", NOW(), 'Raw Data'!C645), "")</f>
        <v/>
      </c>
    </row>
    <row r="1047" spans="4:4" x14ac:dyDescent="0.35">
      <c r="D1047" s="7" t="str">
        <f ca="1">IF('Raw Data'!B646 &lt;&gt; "", IF('Raw Data'!C646 =  "", NOW(), 'Raw Data'!C646), "")</f>
        <v/>
      </c>
    </row>
    <row r="1048" spans="4:4" x14ac:dyDescent="0.35">
      <c r="D1048" s="7" t="str">
        <f ca="1">IF('Raw Data'!B647 &lt;&gt; "", IF('Raw Data'!C647 =  "", NOW(), 'Raw Data'!C647), "")</f>
        <v/>
      </c>
    </row>
    <row r="1049" spans="4:4" x14ac:dyDescent="0.35">
      <c r="D1049" s="7" t="str">
        <f ca="1">IF('Raw Data'!B648 &lt;&gt; "", IF('Raw Data'!C648 =  "", NOW(), 'Raw Data'!C648), "")</f>
        <v/>
      </c>
    </row>
    <row r="1050" spans="4:4" x14ac:dyDescent="0.35">
      <c r="D1050" s="7" t="str">
        <f ca="1">IF('Raw Data'!B649 &lt;&gt; "", IF('Raw Data'!C649 =  "", NOW(), 'Raw Data'!C649), "")</f>
        <v/>
      </c>
    </row>
    <row r="1051" spans="4:4" x14ac:dyDescent="0.35">
      <c r="D1051" s="7" t="str">
        <f ca="1">IF('Raw Data'!B650 &lt;&gt; "", IF('Raw Data'!C650 =  "", NOW(), 'Raw Data'!C650), "")</f>
        <v/>
      </c>
    </row>
    <row r="1052" spans="4:4" x14ac:dyDescent="0.35">
      <c r="D1052" s="7" t="str">
        <f ca="1">IF('Raw Data'!B651 &lt;&gt; "", IF('Raw Data'!C651 =  "", NOW(), 'Raw Data'!C651), "")</f>
        <v/>
      </c>
    </row>
    <row r="1053" spans="4:4" x14ac:dyDescent="0.35">
      <c r="D1053" s="7" t="str">
        <f ca="1">IF('Raw Data'!B652 &lt;&gt; "", IF('Raw Data'!C652 =  "", NOW(), 'Raw Data'!C652), "")</f>
        <v/>
      </c>
    </row>
    <row r="1054" spans="4:4" x14ac:dyDescent="0.35">
      <c r="D1054" s="7" t="str">
        <f ca="1">IF('Raw Data'!B653 &lt;&gt; "", IF('Raw Data'!C653 =  "", NOW(), 'Raw Data'!C653), "")</f>
        <v/>
      </c>
    </row>
    <row r="1055" spans="4:4" x14ac:dyDescent="0.35">
      <c r="D1055" s="7" t="str">
        <f ca="1">IF('Raw Data'!B654 &lt;&gt; "", IF('Raw Data'!C654 =  "", NOW(), 'Raw Data'!C654), "")</f>
        <v/>
      </c>
    </row>
    <row r="1056" spans="4:4" x14ac:dyDescent="0.35">
      <c r="D1056" s="7" t="str">
        <f ca="1">IF('Raw Data'!B655 &lt;&gt; "", IF('Raw Data'!C655 =  "", NOW(), 'Raw Data'!C655), "")</f>
        <v/>
      </c>
    </row>
    <row r="1057" spans="4:4" x14ac:dyDescent="0.35">
      <c r="D1057" s="7" t="str">
        <f ca="1">IF('Raw Data'!B656 &lt;&gt; "", IF('Raw Data'!C656 =  "", NOW(), 'Raw Data'!C656), "")</f>
        <v/>
      </c>
    </row>
    <row r="1058" spans="4:4" x14ac:dyDescent="0.35">
      <c r="D1058" s="7" t="str">
        <f ca="1">IF('Raw Data'!B657 &lt;&gt; "", IF('Raw Data'!C657 =  "", NOW(), 'Raw Data'!C657), "")</f>
        <v/>
      </c>
    </row>
    <row r="1059" spans="4:4" x14ac:dyDescent="0.35">
      <c r="D1059" s="7" t="str">
        <f ca="1">IF('Raw Data'!B658 &lt;&gt; "", IF('Raw Data'!C658 =  "", NOW(), 'Raw Data'!C658), "")</f>
        <v/>
      </c>
    </row>
    <row r="1060" spans="4:4" x14ac:dyDescent="0.35">
      <c r="D1060" s="7" t="str">
        <f ca="1">IF('Raw Data'!B659 &lt;&gt; "", IF('Raw Data'!C659 =  "", NOW(), 'Raw Data'!C659), "")</f>
        <v/>
      </c>
    </row>
    <row r="1061" spans="4:4" x14ac:dyDescent="0.35">
      <c r="D1061" s="7" t="str">
        <f ca="1">IF('Raw Data'!B660 &lt;&gt; "", IF('Raw Data'!C660 =  "", NOW(), 'Raw Data'!C660), "")</f>
        <v/>
      </c>
    </row>
    <row r="1062" spans="4:4" x14ac:dyDescent="0.35">
      <c r="D1062" s="7" t="str">
        <f ca="1">IF('Raw Data'!B661 &lt;&gt; "", IF('Raw Data'!C661 =  "", NOW(), 'Raw Data'!C661), "")</f>
        <v/>
      </c>
    </row>
    <row r="1063" spans="4:4" x14ac:dyDescent="0.35">
      <c r="D1063" s="7" t="str">
        <f ca="1">IF('Raw Data'!B662 &lt;&gt; "", IF('Raw Data'!C662 =  "", NOW(), 'Raw Data'!C662), "")</f>
        <v/>
      </c>
    </row>
    <row r="1064" spans="4:4" x14ac:dyDescent="0.35">
      <c r="D1064" s="7" t="str">
        <f ca="1">IF('Raw Data'!B663 &lt;&gt; "", IF('Raw Data'!C663 =  "", NOW(), 'Raw Data'!C663), "")</f>
        <v/>
      </c>
    </row>
    <row r="1065" spans="4:4" x14ac:dyDescent="0.35">
      <c r="D1065" s="7" t="str">
        <f ca="1">IF('Raw Data'!B664 &lt;&gt; "", IF('Raw Data'!C664 =  "", NOW(), 'Raw Data'!C664), "")</f>
        <v/>
      </c>
    </row>
    <row r="1066" spans="4:4" x14ac:dyDescent="0.35">
      <c r="D1066" s="7" t="str">
        <f ca="1">IF('Raw Data'!B665 &lt;&gt; "", IF('Raw Data'!C665 =  "", NOW(), 'Raw Data'!C665), "")</f>
        <v/>
      </c>
    </row>
    <row r="1067" spans="4:4" x14ac:dyDescent="0.35">
      <c r="D1067" s="7" t="str">
        <f ca="1">IF('Raw Data'!B666 &lt;&gt; "", IF('Raw Data'!C666 =  "", NOW(), 'Raw Data'!C666), "")</f>
        <v/>
      </c>
    </row>
    <row r="1068" spans="4:4" x14ac:dyDescent="0.35">
      <c r="D1068" s="7" t="str">
        <f ca="1">IF('Raw Data'!B667 &lt;&gt; "", IF('Raw Data'!C667 =  "", NOW(), 'Raw Data'!C667), "")</f>
        <v/>
      </c>
    </row>
    <row r="1069" spans="4:4" x14ac:dyDescent="0.35">
      <c r="D1069" s="7" t="str">
        <f ca="1">IF('Raw Data'!B668 &lt;&gt; "", IF('Raw Data'!C668 =  "", NOW(), 'Raw Data'!C668), "")</f>
        <v/>
      </c>
    </row>
    <row r="1070" spans="4:4" x14ac:dyDescent="0.35">
      <c r="D1070" s="7" t="str">
        <f ca="1">IF('Raw Data'!B669 &lt;&gt; "", IF('Raw Data'!C669 =  "", NOW(), 'Raw Data'!C669), "")</f>
        <v/>
      </c>
    </row>
    <row r="1071" spans="4:4" x14ac:dyDescent="0.35">
      <c r="D1071" s="7" t="str">
        <f ca="1">IF('Raw Data'!B670 &lt;&gt; "", IF('Raw Data'!C670 =  "", NOW(), 'Raw Data'!C670), "")</f>
        <v/>
      </c>
    </row>
    <row r="1072" spans="4:4" x14ac:dyDescent="0.35">
      <c r="D1072" s="7" t="str">
        <f ca="1">IF('Raw Data'!B671 &lt;&gt; "", IF('Raw Data'!C671 =  "", NOW(), 'Raw Data'!C671), "")</f>
        <v/>
      </c>
    </row>
    <row r="1073" spans="4:4" x14ac:dyDescent="0.35">
      <c r="D1073" s="7" t="str">
        <f ca="1">IF('Raw Data'!B672 &lt;&gt; "", IF('Raw Data'!C672 =  "", NOW(), 'Raw Data'!C672), "")</f>
        <v/>
      </c>
    </row>
    <row r="1074" spans="4:4" x14ac:dyDescent="0.35">
      <c r="D1074" s="7" t="str">
        <f ca="1">IF('Raw Data'!B673 &lt;&gt; "", IF('Raw Data'!C673 =  "", NOW(), 'Raw Data'!C673), "")</f>
        <v/>
      </c>
    </row>
    <row r="1075" spans="4:4" x14ac:dyDescent="0.35">
      <c r="D1075" s="7" t="str">
        <f ca="1">IF('Raw Data'!B674 &lt;&gt; "", IF('Raw Data'!C674 =  "", NOW(), 'Raw Data'!C674), "")</f>
        <v/>
      </c>
    </row>
    <row r="1076" spans="4:4" x14ac:dyDescent="0.35">
      <c r="D1076" s="7" t="str">
        <f ca="1">IF('Raw Data'!B675 &lt;&gt; "", IF('Raw Data'!C675 =  "", NOW(), 'Raw Data'!C675), "")</f>
        <v/>
      </c>
    </row>
    <row r="1077" spans="4:4" x14ac:dyDescent="0.35">
      <c r="D1077" s="7" t="str">
        <f ca="1">IF('Raw Data'!B676 &lt;&gt; "", IF('Raw Data'!C676 =  "", NOW(), 'Raw Data'!C676), "")</f>
        <v/>
      </c>
    </row>
    <row r="1078" spans="4:4" x14ac:dyDescent="0.35">
      <c r="D1078" s="7" t="str">
        <f ca="1">IF('Raw Data'!B677 &lt;&gt; "", IF('Raw Data'!C677 =  "", NOW(), 'Raw Data'!C677), "")</f>
        <v/>
      </c>
    </row>
    <row r="1079" spans="4:4" x14ac:dyDescent="0.35">
      <c r="D1079" s="7" t="str">
        <f ca="1">IF('Raw Data'!B678 &lt;&gt; "", IF('Raw Data'!C678 =  "", NOW(), 'Raw Data'!C678), "")</f>
        <v/>
      </c>
    </row>
    <row r="1080" spans="4:4" x14ac:dyDescent="0.35">
      <c r="D1080" s="7" t="str">
        <f ca="1">IF('Raw Data'!B679 &lt;&gt; "", IF('Raw Data'!C679 =  "", NOW(), 'Raw Data'!C679), "")</f>
        <v/>
      </c>
    </row>
    <row r="1081" spans="4:4" x14ac:dyDescent="0.35">
      <c r="D1081" s="7" t="str">
        <f ca="1">IF('Raw Data'!B680 &lt;&gt; "", IF('Raw Data'!C680 =  "", NOW(), 'Raw Data'!C680), "")</f>
        <v/>
      </c>
    </row>
    <row r="1082" spans="4:4" x14ac:dyDescent="0.35">
      <c r="D1082" s="7" t="str">
        <f ca="1">IF('Raw Data'!B681 &lt;&gt; "", IF('Raw Data'!C681 =  "", NOW(), 'Raw Data'!C681), "")</f>
        <v/>
      </c>
    </row>
    <row r="1083" spans="4:4" x14ac:dyDescent="0.35">
      <c r="D1083" s="7" t="str">
        <f ca="1">IF('Raw Data'!B682 &lt;&gt; "", IF('Raw Data'!C682 =  "", NOW(), 'Raw Data'!C682), "")</f>
        <v/>
      </c>
    </row>
    <row r="1084" spans="4:4" x14ac:dyDescent="0.35">
      <c r="D1084" s="7" t="str">
        <f ca="1">IF('Raw Data'!B683 &lt;&gt; "", IF('Raw Data'!C683 =  "", NOW(), 'Raw Data'!C683), "")</f>
        <v/>
      </c>
    </row>
    <row r="1085" spans="4:4" x14ac:dyDescent="0.35">
      <c r="D1085" s="7" t="str">
        <f ca="1">IF('Raw Data'!B684 &lt;&gt; "", IF('Raw Data'!C684 =  "", NOW(), 'Raw Data'!C684), "")</f>
        <v/>
      </c>
    </row>
    <row r="1086" spans="4:4" x14ac:dyDescent="0.35">
      <c r="D1086" s="7" t="str">
        <f ca="1">IF('Raw Data'!B685 &lt;&gt; "", IF('Raw Data'!C685 =  "", NOW(), 'Raw Data'!C685), "")</f>
        <v/>
      </c>
    </row>
    <row r="1087" spans="4:4" x14ac:dyDescent="0.35">
      <c r="D1087" s="7" t="str">
        <f ca="1">IF('Raw Data'!B686 &lt;&gt; "", IF('Raw Data'!C686 =  "", NOW(), 'Raw Data'!C686), "")</f>
        <v/>
      </c>
    </row>
    <row r="1088" spans="4:4" x14ac:dyDescent="0.35">
      <c r="D1088" s="7" t="str">
        <f ca="1">IF('Raw Data'!B687 &lt;&gt; "", IF('Raw Data'!C687 =  "", NOW(), 'Raw Data'!C687), "")</f>
        <v/>
      </c>
    </row>
    <row r="1089" spans="4:4" x14ac:dyDescent="0.35">
      <c r="D1089" s="7" t="str">
        <f ca="1">IF('Raw Data'!B688 &lt;&gt; "", IF('Raw Data'!C688 =  "", NOW(), 'Raw Data'!C688), "")</f>
        <v/>
      </c>
    </row>
    <row r="1090" spans="4:4" x14ac:dyDescent="0.35">
      <c r="D1090" s="7" t="str">
        <f ca="1">IF('Raw Data'!B689 &lt;&gt; "", IF('Raw Data'!C689 =  "", NOW(), 'Raw Data'!C689), "")</f>
        <v/>
      </c>
    </row>
    <row r="1091" spans="4:4" x14ac:dyDescent="0.35">
      <c r="D1091" s="7" t="str">
        <f ca="1">IF('Raw Data'!B690 &lt;&gt; "", IF('Raw Data'!C690 =  "", NOW(), 'Raw Data'!C690), "")</f>
        <v/>
      </c>
    </row>
    <row r="1092" spans="4:4" x14ac:dyDescent="0.35">
      <c r="D1092" s="7" t="str">
        <f ca="1">IF('Raw Data'!B691 &lt;&gt; "", IF('Raw Data'!C691 =  "", NOW(), 'Raw Data'!C691), "")</f>
        <v/>
      </c>
    </row>
    <row r="1093" spans="4:4" x14ac:dyDescent="0.35">
      <c r="D1093" s="7" t="str">
        <f ca="1">IF('Raw Data'!B692 &lt;&gt; "", IF('Raw Data'!C692 =  "", NOW(), 'Raw Data'!C692), "")</f>
        <v/>
      </c>
    </row>
    <row r="1094" spans="4:4" x14ac:dyDescent="0.35">
      <c r="D1094" s="7" t="str">
        <f ca="1">IF('Raw Data'!B693 &lt;&gt; "", IF('Raw Data'!C693 =  "", NOW(), 'Raw Data'!C693), "")</f>
        <v/>
      </c>
    </row>
    <row r="1095" spans="4:4" x14ac:dyDescent="0.35">
      <c r="D1095" s="7" t="str">
        <f ca="1">IF('Raw Data'!B694 &lt;&gt; "", IF('Raw Data'!C694 =  "", NOW(), 'Raw Data'!C694), "")</f>
        <v/>
      </c>
    </row>
    <row r="1096" spans="4:4" x14ac:dyDescent="0.35">
      <c r="D1096" s="7" t="str">
        <f ca="1">IF('Raw Data'!B695 &lt;&gt; "", IF('Raw Data'!C695 =  "", NOW(), 'Raw Data'!C695), "")</f>
        <v/>
      </c>
    </row>
    <row r="1097" spans="4:4" x14ac:dyDescent="0.35">
      <c r="D1097" s="7" t="str">
        <f ca="1">IF('Raw Data'!B696 &lt;&gt; "", IF('Raw Data'!C696 =  "", NOW(), 'Raw Data'!C696), "")</f>
        <v/>
      </c>
    </row>
    <row r="1098" spans="4:4" x14ac:dyDescent="0.35">
      <c r="D1098" s="7" t="str">
        <f ca="1">IF('Raw Data'!B697 &lt;&gt; "", IF('Raw Data'!C697 =  "", NOW(), 'Raw Data'!C697), "")</f>
        <v/>
      </c>
    </row>
    <row r="1099" spans="4:4" x14ac:dyDescent="0.35">
      <c r="D1099" s="7" t="str">
        <f ca="1">IF('Raw Data'!B698 &lt;&gt; "", IF('Raw Data'!C698 =  "", NOW(), 'Raw Data'!C698), "")</f>
        <v/>
      </c>
    </row>
    <row r="1100" spans="4:4" x14ac:dyDescent="0.35">
      <c r="D1100" s="7" t="str">
        <f ca="1">IF('Raw Data'!B699 &lt;&gt; "", IF('Raw Data'!C699 =  "", NOW(), 'Raw Data'!C699), "")</f>
        <v/>
      </c>
    </row>
    <row r="1101" spans="4:4" x14ac:dyDescent="0.35">
      <c r="D1101" s="7" t="str">
        <f ca="1">IF('Raw Data'!B700 &lt;&gt; "", IF('Raw Data'!C700 =  "", NOW(), 'Raw Data'!C700), "")</f>
        <v/>
      </c>
    </row>
    <row r="1102" spans="4:4" x14ac:dyDescent="0.35">
      <c r="D1102" s="7" t="str">
        <f ca="1">IF('Raw Data'!B701 &lt;&gt; "", IF('Raw Data'!C701 =  "", NOW(), 'Raw Data'!C701), "")</f>
        <v/>
      </c>
    </row>
    <row r="1103" spans="4:4" x14ac:dyDescent="0.35">
      <c r="D1103" s="7" t="str">
        <f ca="1">IF('Raw Data'!B702 &lt;&gt; "", IF('Raw Data'!C702 =  "", NOW(), 'Raw Data'!C702), "")</f>
        <v/>
      </c>
    </row>
    <row r="1104" spans="4:4" x14ac:dyDescent="0.35">
      <c r="D1104" s="7" t="str">
        <f ca="1">IF('Raw Data'!B703 &lt;&gt; "", IF('Raw Data'!C703 =  "", NOW(), 'Raw Data'!C703), "")</f>
        <v/>
      </c>
    </row>
    <row r="1105" spans="4:4" x14ac:dyDescent="0.35">
      <c r="D1105" s="7" t="str">
        <f ca="1">IF('Raw Data'!B704 &lt;&gt; "", IF('Raw Data'!C704 =  "", NOW(), 'Raw Data'!C704), "")</f>
        <v/>
      </c>
    </row>
    <row r="1106" spans="4:4" x14ac:dyDescent="0.35">
      <c r="D1106" s="7" t="str">
        <f ca="1">IF('Raw Data'!B705 &lt;&gt; "", IF('Raw Data'!C705 =  "", NOW(), 'Raw Data'!C705), "")</f>
        <v/>
      </c>
    </row>
    <row r="1107" spans="4:4" x14ac:dyDescent="0.35">
      <c r="D1107" s="7" t="str">
        <f ca="1">IF('Raw Data'!B706 &lt;&gt; "", IF('Raw Data'!C706 =  "", NOW(), 'Raw Data'!C706), "")</f>
        <v/>
      </c>
    </row>
    <row r="1108" spans="4:4" x14ac:dyDescent="0.35">
      <c r="D1108" s="7" t="str">
        <f ca="1">IF('Raw Data'!B707 &lt;&gt; "", IF('Raw Data'!C707 =  "", NOW(), 'Raw Data'!C707), "")</f>
        <v/>
      </c>
    </row>
    <row r="1109" spans="4:4" x14ac:dyDescent="0.35">
      <c r="D1109" s="7" t="str">
        <f ca="1">IF('Raw Data'!B708 &lt;&gt; "", IF('Raw Data'!C708 =  "", NOW(), 'Raw Data'!C708), "")</f>
        <v/>
      </c>
    </row>
    <row r="1110" spans="4:4" x14ac:dyDescent="0.35">
      <c r="D1110" s="7" t="str">
        <f ca="1">IF('Raw Data'!B709 &lt;&gt; "", IF('Raw Data'!C709 =  "", NOW(), 'Raw Data'!C709), "")</f>
        <v/>
      </c>
    </row>
    <row r="1111" spans="4:4" x14ac:dyDescent="0.35">
      <c r="D1111" s="7" t="str">
        <f ca="1">IF('Raw Data'!B710 &lt;&gt; "", IF('Raw Data'!C710 =  "", NOW(), 'Raw Data'!C710), "")</f>
        <v/>
      </c>
    </row>
    <row r="1112" spans="4:4" x14ac:dyDescent="0.35">
      <c r="D1112" s="7" t="str">
        <f ca="1">IF('Raw Data'!B711 &lt;&gt; "", IF('Raw Data'!C711 =  "", NOW(), 'Raw Data'!C711), "")</f>
        <v/>
      </c>
    </row>
    <row r="1113" spans="4:4" x14ac:dyDescent="0.35">
      <c r="D1113" s="7" t="str">
        <f ca="1">IF('Raw Data'!B712 &lt;&gt; "", IF('Raw Data'!C712 =  "", NOW(), 'Raw Data'!C712), "")</f>
        <v/>
      </c>
    </row>
    <row r="1114" spans="4:4" x14ac:dyDescent="0.35">
      <c r="D1114" s="7" t="str">
        <f ca="1">IF('Raw Data'!B713 &lt;&gt; "", IF('Raw Data'!C713 =  "", NOW(), 'Raw Data'!C713), "")</f>
        <v/>
      </c>
    </row>
    <row r="1115" spans="4:4" x14ac:dyDescent="0.35">
      <c r="D1115" s="7" t="str">
        <f ca="1">IF('Raw Data'!B714 &lt;&gt; "", IF('Raw Data'!C714 =  "", NOW(), 'Raw Data'!C714), "")</f>
        <v/>
      </c>
    </row>
    <row r="1116" spans="4:4" x14ac:dyDescent="0.35">
      <c r="D1116" s="7" t="str">
        <f ca="1">IF('Raw Data'!B715 &lt;&gt; "", IF('Raw Data'!C715 =  "", NOW(), 'Raw Data'!C715), "")</f>
        <v/>
      </c>
    </row>
    <row r="1117" spans="4:4" x14ac:dyDescent="0.35">
      <c r="D1117" s="7" t="str">
        <f ca="1">IF('Raw Data'!B716 &lt;&gt; "", IF('Raw Data'!C716 =  "", NOW(), 'Raw Data'!C716), "")</f>
        <v/>
      </c>
    </row>
    <row r="1118" spans="4:4" x14ac:dyDescent="0.35">
      <c r="D1118" s="7" t="str">
        <f ca="1">IF('Raw Data'!B717 &lt;&gt; "", IF('Raw Data'!C717 =  "", NOW(), 'Raw Data'!C717), "")</f>
        <v/>
      </c>
    </row>
    <row r="1119" spans="4:4" x14ac:dyDescent="0.35">
      <c r="D1119" s="7" t="str">
        <f ca="1">IF('Raw Data'!B718 &lt;&gt; "", IF('Raw Data'!C718 =  "", NOW(), 'Raw Data'!C718), "")</f>
        <v/>
      </c>
    </row>
    <row r="1120" spans="4:4" x14ac:dyDescent="0.35">
      <c r="D1120" s="7" t="str">
        <f ca="1">IF('Raw Data'!B719 &lt;&gt; "", IF('Raw Data'!C719 =  "", NOW(), 'Raw Data'!C719), "")</f>
        <v/>
      </c>
    </row>
    <row r="1121" spans="4:4" x14ac:dyDescent="0.35">
      <c r="D1121" s="7" t="str">
        <f ca="1">IF('Raw Data'!B720 &lt;&gt; "", IF('Raw Data'!C720 =  "", NOW(), 'Raw Data'!C720), "")</f>
        <v/>
      </c>
    </row>
    <row r="1122" spans="4:4" x14ac:dyDescent="0.35">
      <c r="D1122" s="7" t="str">
        <f ca="1">IF('Raw Data'!B721 &lt;&gt; "", IF('Raw Data'!C721 =  "", NOW(), 'Raw Data'!C721), "")</f>
        <v/>
      </c>
    </row>
    <row r="1123" spans="4:4" x14ac:dyDescent="0.35">
      <c r="D1123" s="7" t="str">
        <f ca="1">IF('Raw Data'!B722 &lt;&gt; "", IF('Raw Data'!C722 =  "", NOW(), 'Raw Data'!C722), "")</f>
        <v/>
      </c>
    </row>
    <row r="1124" spans="4:4" x14ac:dyDescent="0.35">
      <c r="D1124" s="7" t="str">
        <f ca="1">IF('Raw Data'!B723 &lt;&gt; "", IF('Raw Data'!C723 =  "", NOW(), 'Raw Data'!C723), "")</f>
        <v/>
      </c>
    </row>
    <row r="1125" spans="4:4" x14ac:dyDescent="0.35">
      <c r="D1125" s="7" t="str">
        <f ca="1">IF('Raw Data'!B724 &lt;&gt; "", IF('Raw Data'!C724 =  "", NOW(), 'Raw Data'!C724), "")</f>
        <v/>
      </c>
    </row>
    <row r="1126" spans="4:4" x14ac:dyDescent="0.35">
      <c r="D1126" s="7" t="str">
        <f ca="1">IF('Raw Data'!B725 &lt;&gt; "", IF('Raw Data'!C725 =  "", NOW(), 'Raw Data'!C725), "")</f>
        <v/>
      </c>
    </row>
    <row r="1127" spans="4:4" x14ac:dyDescent="0.35">
      <c r="D1127" s="7" t="str">
        <f ca="1">IF('Raw Data'!B726 &lt;&gt; "", IF('Raw Data'!C726 =  "", NOW(), 'Raw Data'!C726), "")</f>
        <v/>
      </c>
    </row>
    <row r="1128" spans="4:4" x14ac:dyDescent="0.35">
      <c r="D1128" s="7" t="str">
        <f ca="1">IF('Raw Data'!B727 &lt;&gt; "", IF('Raw Data'!C727 =  "", NOW(), 'Raw Data'!C727), "")</f>
        <v/>
      </c>
    </row>
    <row r="1129" spans="4:4" x14ac:dyDescent="0.35">
      <c r="D1129" s="7" t="str">
        <f ca="1">IF('Raw Data'!B728 &lt;&gt; "", IF('Raw Data'!C728 =  "", NOW(), 'Raw Data'!C728), "")</f>
        <v/>
      </c>
    </row>
    <row r="1130" spans="4:4" x14ac:dyDescent="0.35">
      <c r="D1130" s="7" t="str">
        <f ca="1">IF('Raw Data'!B729 &lt;&gt; "", IF('Raw Data'!C729 =  "", NOW(), 'Raw Data'!C729), "")</f>
        <v/>
      </c>
    </row>
    <row r="1131" spans="4:4" x14ac:dyDescent="0.35">
      <c r="D1131" s="7" t="str">
        <f ca="1">IF('Raw Data'!B730 &lt;&gt; "", IF('Raw Data'!C730 =  "", NOW(), 'Raw Data'!C730), "")</f>
        <v/>
      </c>
    </row>
    <row r="1132" spans="4:4" x14ac:dyDescent="0.35">
      <c r="D1132" s="7" t="str">
        <f ca="1">IF('Raw Data'!B731 &lt;&gt; "", IF('Raw Data'!C731 =  "", NOW(), 'Raw Data'!C731), "")</f>
        <v/>
      </c>
    </row>
    <row r="1133" spans="4:4" x14ac:dyDescent="0.35">
      <c r="D1133" s="7" t="str">
        <f ca="1">IF('Raw Data'!B732 &lt;&gt; "", IF('Raw Data'!C732 =  "", NOW(), 'Raw Data'!C732), "")</f>
        <v/>
      </c>
    </row>
    <row r="1134" spans="4:4" x14ac:dyDescent="0.35">
      <c r="D1134" s="7" t="str">
        <f ca="1">IF('Raw Data'!B733 &lt;&gt; "", IF('Raw Data'!C733 =  "", NOW(), 'Raw Data'!C733), "")</f>
        <v/>
      </c>
    </row>
    <row r="1135" spans="4:4" x14ac:dyDescent="0.35">
      <c r="D1135" s="7" t="str">
        <f ca="1">IF('Raw Data'!B734 &lt;&gt; "", IF('Raw Data'!C734 =  "", NOW(), 'Raw Data'!C734), "")</f>
        <v/>
      </c>
    </row>
    <row r="1136" spans="4:4" x14ac:dyDescent="0.35">
      <c r="D1136" s="7" t="str">
        <f ca="1">IF('Raw Data'!B735 &lt;&gt; "", IF('Raw Data'!C735 =  "", NOW(), 'Raw Data'!C735), "")</f>
        <v/>
      </c>
    </row>
    <row r="1137" spans="4:4" x14ac:dyDescent="0.35">
      <c r="D1137" s="7" t="str">
        <f ca="1">IF('Raw Data'!B736 &lt;&gt; "", IF('Raw Data'!C736 =  "", NOW(), 'Raw Data'!C736), "")</f>
        <v/>
      </c>
    </row>
    <row r="1138" spans="4:4" x14ac:dyDescent="0.35">
      <c r="D1138" s="7" t="str">
        <f ca="1">IF('Raw Data'!B737 &lt;&gt; "", IF('Raw Data'!C737 =  "", NOW(), 'Raw Data'!C737), "")</f>
        <v/>
      </c>
    </row>
    <row r="1139" spans="4:4" x14ac:dyDescent="0.35">
      <c r="D1139" s="7" t="str">
        <f ca="1">IF('Raw Data'!B738 &lt;&gt; "", IF('Raw Data'!C738 =  "", NOW(), 'Raw Data'!C738), "")</f>
        <v/>
      </c>
    </row>
    <row r="1140" spans="4:4" x14ac:dyDescent="0.35">
      <c r="D1140" s="7" t="str">
        <f ca="1">IF('Raw Data'!B739 &lt;&gt; "", IF('Raw Data'!C739 =  "", NOW(), 'Raw Data'!C739), "")</f>
        <v/>
      </c>
    </row>
    <row r="1141" spans="4:4" x14ac:dyDescent="0.35">
      <c r="D1141" s="7" t="str">
        <f ca="1">IF('Raw Data'!B740 &lt;&gt; "", IF('Raw Data'!C740 =  "", NOW(), 'Raw Data'!C740), "")</f>
        <v/>
      </c>
    </row>
    <row r="1142" spans="4:4" x14ac:dyDescent="0.35">
      <c r="D1142" s="7" t="str">
        <f ca="1">IF('Raw Data'!B741 &lt;&gt; "", IF('Raw Data'!C741 =  "", NOW(), 'Raw Data'!C741), "")</f>
        <v/>
      </c>
    </row>
    <row r="1143" spans="4:4" x14ac:dyDescent="0.35">
      <c r="D1143" s="7" t="str">
        <f ca="1">IF('Raw Data'!B742 &lt;&gt; "", IF('Raw Data'!C742 =  "", NOW(), 'Raw Data'!C742), "")</f>
        <v/>
      </c>
    </row>
    <row r="1144" spans="4:4" x14ac:dyDescent="0.35">
      <c r="D1144" s="7" t="str">
        <f ca="1">IF('Raw Data'!B743 &lt;&gt; "", IF('Raw Data'!C743 =  "", NOW(), 'Raw Data'!C743), "")</f>
        <v/>
      </c>
    </row>
    <row r="1145" spans="4:4" x14ac:dyDescent="0.35">
      <c r="D1145" s="7" t="str">
        <f ca="1">IF('Raw Data'!B744 &lt;&gt; "", IF('Raw Data'!C744 =  "", NOW(), 'Raw Data'!C744), "")</f>
        <v/>
      </c>
    </row>
    <row r="1146" spans="4:4" x14ac:dyDescent="0.35">
      <c r="D1146" s="7" t="str">
        <f ca="1">IF('Raw Data'!B745 &lt;&gt; "", IF('Raw Data'!C745 =  "", NOW(), 'Raw Data'!C745), "")</f>
        <v/>
      </c>
    </row>
    <row r="1147" spans="4:4" x14ac:dyDescent="0.35">
      <c r="D1147" s="7" t="str">
        <f ca="1">IF('Raw Data'!B746 &lt;&gt; "", IF('Raw Data'!C746 =  "", NOW(), 'Raw Data'!C746), "")</f>
        <v/>
      </c>
    </row>
    <row r="1148" spans="4:4" x14ac:dyDescent="0.35">
      <c r="D1148" s="7" t="str">
        <f ca="1">IF('Raw Data'!B747 &lt;&gt; "", IF('Raw Data'!C747 =  "", NOW(), 'Raw Data'!C747), "")</f>
        <v/>
      </c>
    </row>
    <row r="1149" spans="4:4" x14ac:dyDescent="0.35">
      <c r="D1149" s="7" t="str">
        <f ca="1">IF('Raw Data'!B748 &lt;&gt; "", IF('Raw Data'!C748 =  "", NOW(), 'Raw Data'!C748), "")</f>
        <v/>
      </c>
    </row>
    <row r="1150" spans="4:4" x14ac:dyDescent="0.35">
      <c r="D1150" s="7" t="str">
        <f ca="1">IF('Raw Data'!B749 &lt;&gt; "", IF('Raw Data'!C749 =  "", NOW(), 'Raw Data'!C749), "")</f>
        <v/>
      </c>
    </row>
    <row r="1151" spans="4:4" x14ac:dyDescent="0.35">
      <c r="D1151" s="7" t="str">
        <f ca="1">IF('Raw Data'!B750 &lt;&gt; "", IF('Raw Data'!C750 =  "", NOW(), 'Raw Data'!C750), "")</f>
        <v/>
      </c>
    </row>
    <row r="1152" spans="4:4" x14ac:dyDescent="0.35">
      <c r="D1152" s="7" t="str">
        <f ca="1">IF('Raw Data'!B751 &lt;&gt; "", IF('Raw Data'!C751 =  "", NOW(), 'Raw Data'!C751), "")</f>
        <v/>
      </c>
    </row>
    <row r="1153" spans="4:4" x14ac:dyDescent="0.35">
      <c r="D1153" s="7" t="str">
        <f ca="1">IF('Raw Data'!B752 &lt;&gt; "", IF('Raw Data'!C752 =  "", NOW(), 'Raw Data'!C752), "")</f>
        <v/>
      </c>
    </row>
    <row r="1154" spans="4:4" x14ac:dyDescent="0.35">
      <c r="D1154" s="7" t="str">
        <f ca="1">IF('Raw Data'!B753 &lt;&gt; "", IF('Raw Data'!C753 =  "", NOW(), 'Raw Data'!C753), "")</f>
        <v/>
      </c>
    </row>
    <row r="1155" spans="4:4" x14ac:dyDescent="0.35">
      <c r="D1155" s="7" t="str">
        <f ca="1">IF('Raw Data'!B754 &lt;&gt; "", IF('Raw Data'!C754 =  "", NOW(), 'Raw Data'!C754), "")</f>
        <v/>
      </c>
    </row>
    <row r="1156" spans="4:4" x14ac:dyDescent="0.35">
      <c r="D1156" s="7" t="str">
        <f ca="1">IF('Raw Data'!B755 &lt;&gt; "", IF('Raw Data'!C755 =  "", NOW(), 'Raw Data'!C755), "")</f>
        <v/>
      </c>
    </row>
    <row r="1157" spans="4:4" x14ac:dyDescent="0.35">
      <c r="D1157" s="7" t="str">
        <f ca="1">IF('Raw Data'!B756 &lt;&gt; "", IF('Raw Data'!C756 =  "", NOW(), 'Raw Data'!C756), "")</f>
        <v/>
      </c>
    </row>
    <row r="1158" spans="4:4" x14ac:dyDescent="0.35">
      <c r="D1158" s="7" t="str">
        <f ca="1">IF('Raw Data'!B757 &lt;&gt; "", IF('Raw Data'!C757 =  "", NOW(), 'Raw Data'!C757), "")</f>
        <v/>
      </c>
    </row>
    <row r="1159" spans="4:4" x14ac:dyDescent="0.35">
      <c r="D1159" s="7" t="str">
        <f ca="1">IF('Raw Data'!B758 &lt;&gt; "", IF('Raw Data'!C758 =  "", NOW(), 'Raw Data'!C758), "")</f>
        <v/>
      </c>
    </row>
    <row r="1160" spans="4:4" x14ac:dyDescent="0.35">
      <c r="D1160" s="7" t="str">
        <f ca="1">IF('Raw Data'!B759 &lt;&gt; "", IF('Raw Data'!C759 =  "", NOW(), 'Raw Data'!C759), "")</f>
        <v/>
      </c>
    </row>
    <row r="1161" spans="4:4" x14ac:dyDescent="0.35">
      <c r="D1161" s="7" t="str">
        <f ca="1">IF('Raw Data'!B760 &lt;&gt; "", IF('Raw Data'!C760 =  "", NOW(), 'Raw Data'!C760), "")</f>
        <v/>
      </c>
    </row>
    <row r="1162" spans="4:4" x14ac:dyDescent="0.35">
      <c r="D1162" s="7" t="str">
        <f ca="1">IF('Raw Data'!B761 &lt;&gt; "", IF('Raw Data'!C761 =  "", NOW(), 'Raw Data'!C761), "")</f>
        <v/>
      </c>
    </row>
    <row r="1163" spans="4:4" x14ac:dyDescent="0.35">
      <c r="D1163" s="7" t="str">
        <f ca="1">IF('Raw Data'!B762 &lt;&gt; "", IF('Raw Data'!C762 =  "", NOW(), 'Raw Data'!C762), "")</f>
        <v/>
      </c>
    </row>
    <row r="1164" spans="4:4" x14ac:dyDescent="0.35">
      <c r="D1164" s="7" t="str">
        <f ca="1">IF('Raw Data'!B763 &lt;&gt; "", IF('Raw Data'!C763 =  "", NOW(), 'Raw Data'!C763), "")</f>
        <v/>
      </c>
    </row>
    <row r="1165" spans="4:4" x14ac:dyDescent="0.35">
      <c r="D1165" s="7" t="str">
        <f ca="1">IF('Raw Data'!B764 &lt;&gt; "", IF('Raw Data'!C764 =  "", NOW(), 'Raw Data'!C764), "")</f>
        <v/>
      </c>
    </row>
    <row r="1166" spans="4:4" x14ac:dyDescent="0.35">
      <c r="D1166" s="7" t="str">
        <f ca="1">IF('Raw Data'!B765 &lt;&gt; "", IF('Raw Data'!C765 =  "", NOW(), 'Raw Data'!C765), "")</f>
        <v/>
      </c>
    </row>
    <row r="1167" spans="4:4" x14ac:dyDescent="0.35">
      <c r="D1167" s="7" t="str">
        <f ca="1">IF('Raw Data'!B766 &lt;&gt; "", IF('Raw Data'!C766 =  "", NOW(), 'Raw Data'!C766), "")</f>
        <v/>
      </c>
    </row>
    <row r="1168" spans="4:4" x14ac:dyDescent="0.35">
      <c r="D1168" s="7" t="str">
        <f ca="1">IF('Raw Data'!B767 &lt;&gt; "", IF('Raw Data'!C767 =  "", NOW(), 'Raw Data'!C767), "")</f>
        <v/>
      </c>
    </row>
    <row r="1169" spans="4:4" x14ac:dyDescent="0.35">
      <c r="D1169" s="7" t="str">
        <f ca="1">IF('Raw Data'!B768 &lt;&gt; "", IF('Raw Data'!C768 =  "", NOW(), 'Raw Data'!C768), "")</f>
        <v/>
      </c>
    </row>
    <row r="1170" spans="4:4" x14ac:dyDescent="0.35">
      <c r="D1170" s="7" t="str">
        <f ca="1">IF('Raw Data'!B769 &lt;&gt; "", IF('Raw Data'!C769 =  "", NOW(), 'Raw Data'!C769), "")</f>
        <v/>
      </c>
    </row>
    <row r="1171" spans="4:4" x14ac:dyDescent="0.35">
      <c r="D1171" s="7" t="str">
        <f ca="1">IF('Raw Data'!B770 &lt;&gt; "", IF('Raw Data'!C770 =  "", NOW(), 'Raw Data'!C770), "")</f>
        <v/>
      </c>
    </row>
    <row r="1172" spans="4:4" x14ac:dyDescent="0.35">
      <c r="D1172" s="7" t="str">
        <f ca="1">IF('Raw Data'!B771 &lt;&gt; "", IF('Raw Data'!C771 =  "", NOW(), 'Raw Data'!C771), "")</f>
        <v/>
      </c>
    </row>
    <row r="1173" spans="4:4" x14ac:dyDescent="0.35">
      <c r="D1173" s="7" t="str">
        <f ca="1">IF('Raw Data'!B772 &lt;&gt; "", IF('Raw Data'!C772 =  "", NOW(), 'Raw Data'!C772), "")</f>
        <v/>
      </c>
    </row>
    <row r="1174" spans="4:4" x14ac:dyDescent="0.35">
      <c r="D1174" s="7" t="str">
        <f ca="1">IF('Raw Data'!B773 &lt;&gt; "", IF('Raw Data'!C773 =  "", NOW(), 'Raw Data'!C773), "")</f>
        <v/>
      </c>
    </row>
    <row r="1175" spans="4:4" x14ac:dyDescent="0.35">
      <c r="D1175" s="7" t="str">
        <f ca="1">IF('Raw Data'!B774 &lt;&gt; "", IF('Raw Data'!C774 =  "", NOW(), 'Raw Data'!C774), "")</f>
        <v/>
      </c>
    </row>
    <row r="1176" spans="4:4" x14ac:dyDescent="0.35">
      <c r="D1176" s="7" t="str">
        <f ca="1">IF('Raw Data'!B775 &lt;&gt; "", IF('Raw Data'!C775 =  "", NOW(), 'Raw Data'!C775), "")</f>
        <v/>
      </c>
    </row>
    <row r="1177" spans="4:4" x14ac:dyDescent="0.35">
      <c r="D1177" s="7" t="str">
        <f ca="1">IF('Raw Data'!B776 &lt;&gt; "", IF('Raw Data'!C776 =  "", NOW(), 'Raw Data'!C776), "")</f>
        <v/>
      </c>
    </row>
    <row r="1178" spans="4:4" x14ac:dyDescent="0.35">
      <c r="D1178" s="7" t="str">
        <f ca="1">IF('Raw Data'!B777 &lt;&gt; "", IF('Raw Data'!C777 =  "", NOW(), 'Raw Data'!C777), "")</f>
        <v/>
      </c>
    </row>
    <row r="1179" spans="4:4" x14ac:dyDescent="0.35">
      <c r="D1179" s="7" t="str">
        <f ca="1">IF('Raw Data'!B778 &lt;&gt; "", IF('Raw Data'!C778 =  "", NOW(), 'Raw Data'!C778), "")</f>
        <v/>
      </c>
    </row>
    <row r="1180" spans="4:4" x14ac:dyDescent="0.35">
      <c r="D1180" s="7" t="str">
        <f ca="1">IF('Raw Data'!B779 &lt;&gt; "", IF('Raw Data'!C779 =  "", NOW(), 'Raw Data'!C779), "")</f>
        <v/>
      </c>
    </row>
    <row r="1181" spans="4:4" x14ac:dyDescent="0.35">
      <c r="D1181" s="7" t="str">
        <f ca="1">IF('Raw Data'!B780 &lt;&gt; "", IF('Raw Data'!C780 =  "", NOW(), 'Raw Data'!C780), "")</f>
        <v/>
      </c>
    </row>
    <row r="1182" spans="4:4" x14ac:dyDescent="0.35">
      <c r="D1182" s="7" t="str">
        <f ca="1">IF('Raw Data'!B781 &lt;&gt; "", IF('Raw Data'!C781 =  "", NOW(), 'Raw Data'!C781), "")</f>
        <v/>
      </c>
    </row>
    <row r="1183" spans="4:4" x14ac:dyDescent="0.35">
      <c r="D1183" s="7" t="str">
        <f ca="1">IF('Raw Data'!B782 &lt;&gt; "", IF('Raw Data'!C782 =  "", NOW(), 'Raw Data'!C782), "")</f>
        <v/>
      </c>
    </row>
    <row r="1184" spans="4:4" x14ac:dyDescent="0.35">
      <c r="D1184" s="7" t="str">
        <f ca="1">IF('Raw Data'!B783 &lt;&gt; "", IF('Raw Data'!C783 =  "", NOW(), 'Raw Data'!C783), "")</f>
        <v/>
      </c>
    </row>
    <row r="1185" spans="4:4" x14ac:dyDescent="0.35">
      <c r="D1185" s="7" t="str">
        <f ca="1">IF('Raw Data'!B784 &lt;&gt; "", IF('Raw Data'!C784 =  "", NOW(), 'Raw Data'!C784), "")</f>
        <v/>
      </c>
    </row>
    <row r="1186" spans="4:4" x14ac:dyDescent="0.35">
      <c r="D1186" s="7" t="str">
        <f ca="1">IF('Raw Data'!B785 &lt;&gt; "", IF('Raw Data'!C785 =  "", NOW(), 'Raw Data'!C785), "")</f>
        <v/>
      </c>
    </row>
    <row r="1187" spans="4:4" x14ac:dyDescent="0.35">
      <c r="D1187" s="7" t="str">
        <f ca="1">IF('Raw Data'!B786 &lt;&gt; "", IF('Raw Data'!C786 =  "", NOW(), 'Raw Data'!C786), "")</f>
        <v/>
      </c>
    </row>
    <row r="1188" spans="4:4" x14ac:dyDescent="0.35">
      <c r="D1188" s="7" t="str">
        <f ca="1">IF('Raw Data'!B787 &lt;&gt; "", IF('Raw Data'!C787 =  "", NOW(), 'Raw Data'!C787), "")</f>
        <v/>
      </c>
    </row>
    <row r="1189" spans="4:4" x14ac:dyDescent="0.35">
      <c r="D1189" s="7" t="str">
        <f ca="1">IF('Raw Data'!B788 &lt;&gt; "", IF('Raw Data'!C788 =  "", NOW(), 'Raw Data'!C788), "")</f>
        <v/>
      </c>
    </row>
    <row r="1190" spans="4:4" x14ac:dyDescent="0.35">
      <c r="D1190" s="7" t="str">
        <f ca="1">IF('Raw Data'!B789 &lt;&gt; "", IF('Raw Data'!C789 =  "", NOW(), 'Raw Data'!C789), "")</f>
        <v/>
      </c>
    </row>
    <row r="1191" spans="4:4" x14ac:dyDescent="0.35">
      <c r="D1191" s="7" t="str">
        <f ca="1">IF('Raw Data'!B790 &lt;&gt; "", IF('Raw Data'!C790 =  "", NOW(), 'Raw Data'!C790), "")</f>
        <v/>
      </c>
    </row>
    <row r="1192" spans="4:4" x14ac:dyDescent="0.35">
      <c r="D1192" s="7" t="str">
        <f ca="1">IF('Raw Data'!B791 &lt;&gt; "", IF('Raw Data'!C791 =  "", NOW(), 'Raw Data'!C791), "")</f>
        <v/>
      </c>
    </row>
    <row r="1193" spans="4:4" x14ac:dyDescent="0.35">
      <c r="D1193" s="7" t="str">
        <f ca="1">IF('Raw Data'!B792 &lt;&gt; "", IF('Raw Data'!C792 =  "", NOW(), 'Raw Data'!C792), "")</f>
        <v/>
      </c>
    </row>
    <row r="1194" spans="4:4" x14ac:dyDescent="0.35">
      <c r="D1194" s="7" t="str">
        <f ca="1">IF('Raw Data'!B793 &lt;&gt; "", IF('Raw Data'!C793 =  "", NOW(), 'Raw Data'!C793), "")</f>
        <v/>
      </c>
    </row>
    <row r="1195" spans="4:4" x14ac:dyDescent="0.35">
      <c r="D1195" s="7" t="str">
        <f ca="1">IF('Raw Data'!B794 &lt;&gt; "", IF('Raw Data'!C794 =  "", NOW(), 'Raw Data'!C794), "")</f>
        <v/>
      </c>
    </row>
    <row r="1196" spans="4:4" x14ac:dyDescent="0.35">
      <c r="D1196" s="7" t="str">
        <f ca="1">IF('Raw Data'!B795 &lt;&gt; "", IF('Raw Data'!C795 =  "", NOW(), 'Raw Data'!C795), "")</f>
        <v/>
      </c>
    </row>
    <row r="1197" spans="4:4" x14ac:dyDescent="0.35">
      <c r="D1197" s="7" t="str">
        <f ca="1">IF('Raw Data'!B796 &lt;&gt; "", IF('Raw Data'!C796 =  "", NOW(), 'Raw Data'!C796), "")</f>
        <v/>
      </c>
    </row>
    <row r="1198" spans="4:4" x14ac:dyDescent="0.35">
      <c r="D1198" s="7" t="str">
        <f ca="1">IF('Raw Data'!B797 &lt;&gt; "", IF('Raw Data'!C797 =  "", NOW(), 'Raw Data'!C797), "")</f>
        <v/>
      </c>
    </row>
    <row r="1199" spans="4:4" x14ac:dyDescent="0.35">
      <c r="D1199" s="7" t="str">
        <f ca="1">IF('Raw Data'!B798 &lt;&gt; "", IF('Raw Data'!C798 =  "", NOW(), 'Raw Data'!C798), "")</f>
        <v/>
      </c>
    </row>
    <row r="1200" spans="4:4" x14ac:dyDescent="0.35">
      <c r="D1200" s="7" t="str">
        <f ca="1">IF('Raw Data'!B799 &lt;&gt; "", IF('Raw Data'!C799 =  "", NOW(), 'Raw Data'!C799), "")</f>
        <v/>
      </c>
    </row>
    <row r="1201" spans="4:4" x14ac:dyDescent="0.35">
      <c r="D1201" s="7" t="str">
        <f ca="1">IF('Raw Data'!B800 &lt;&gt; "", IF('Raw Data'!C800 =  "", NOW(), 'Raw Data'!C800), "")</f>
        <v/>
      </c>
    </row>
    <row r="1202" spans="4:4" x14ac:dyDescent="0.35">
      <c r="D1202" s="7" t="str">
        <f ca="1">IF('Raw Data'!B801 &lt;&gt; "", IF('Raw Data'!C801 =  "", NOW(), 'Raw Data'!C801), "")</f>
        <v/>
      </c>
    </row>
    <row r="1203" spans="4:4" x14ac:dyDescent="0.35">
      <c r="D1203" s="7" t="str">
        <f ca="1">IF('Raw Data'!B802 &lt;&gt; "", IF('Raw Data'!C802 =  "", NOW(), 'Raw Data'!C802), "")</f>
        <v/>
      </c>
    </row>
    <row r="1204" spans="4:4" x14ac:dyDescent="0.35">
      <c r="D1204" s="7" t="str">
        <f ca="1">IF('Raw Data'!B803 &lt;&gt; "", IF('Raw Data'!C803 =  "", NOW(), 'Raw Data'!C803), "")</f>
        <v/>
      </c>
    </row>
    <row r="1205" spans="4:4" x14ac:dyDescent="0.35">
      <c r="D1205" s="7" t="str">
        <f ca="1">IF('Raw Data'!B804 &lt;&gt; "", IF('Raw Data'!C804 =  "", NOW(), 'Raw Data'!C804), "")</f>
        <v/>
      </c>
    </row>
    <row r="1206" spans="4:4" x14ac:dyDescent="0.35">
      <c r="D1206" s="7" t="str">
        <f ca="1">IF('Raw Data'!B805 &lt;&gt; "", IF('Raw Data'!C805 =  "", NOW(), 'Raw Data'!C805), "")</f>
        <v/>
      </c>
    </row>
    <row r="1207" spans="4:4" x14ac:dyDescent="0.35">
      <c r="D1207" s="7" t="str">
        <f ca="1">IF('Raw Data'!B806 &lt;&gt; "", IF('Raw Data'!C806 =  "", NOW(), 'Raw Data'!C806), "")</f>
        <v/>
      </c>
    </row>
    <row r="1208" spans="4:4" x14ac:dyDescent="0.35">
      <c r="D1208" s="7" t="str">
        <f ca="1">IF('Raw Data'!B807 &lt;&gt; "", IF('Raw Data'!C807 =  "", NOW(), 'Raw Data'!C807), "")</f>
        <v/>
      </c>
    </row>
    <row r="1209" spans="4:4" x14ac:dyDescent="0.35">
      <c r="D1209" s="7" t="str">
        <f ca="1">IF('Raw Data'!B808 &lt;&gt; "", IF('Raw Data'!C808 =  "", NOW(), 'Raw Data'!C808), "")</f>
        <v/>
      </c>
    </row>
    <row r="1210" spans="4:4" x14ac:dyDescent="0.35">
      <c r="D1210" s="7" t="str">
        <f ca="1">IF('Raw Data'!B809 &lt;&gt; "", IF('Raw Data'!C809 =  "", NOW(), 'Raw Data'!C809), "")</f>
        <v/>
      </c>
    </row>
    <row r="1211" spans="4:4" x14ac:dyDescent="0.35">
      <c r="D1211" s="7" t="str">
        <f ca="1">IF('Raw Data'!B810 &lt;&gt; "", IF('Raw Data'!C810 =  "", NOW(), 'Raw Data'!C810), "")</f>
        <v/>
      </c>
    </row>
    <row r="1212" spans="4:4" x14ac:dyDescent="0.35">
      <c r="D1212" s="7" t="str">
        <f ca="1">IF('Raw Data'!B811 &lt;&gt; "", IF('Raw Data'!C811 =  "", NOW(), 'Raw Data'!C811), "")</f>
        <v/>
      </c>
    </row>
    <row r="1213" spans="4:4" x14ac:dyDescent="0.35">
      <c r="D1213" s="7" t="str">
        <f ca="1">IF('Raw Data'!B812 &lt;&gt; "", IF('Raw Data'!C812 =  "", NOW(), 'Raw Data'!C812), "")</f>
        <v/>
      </c>
    </row>
    <row r="1214" spans="4:4" x14ac:dyDescent="0.35">
      <c r="D1214" s="7" t="str">
        <f ca="1">IF('Raw Data'!B813 &lt;&gt; "", IF('Raw Data'!C813 =  "", NOW(), 'Raw Data'!C813), "")</f>
        <v/>
      </c>
    </row>
    <row r="1215" spans="4:4" x14ac:dyDescent="0.35">
      <c r="D1215" s="7" t="str">
        <f ca="1">IF('Raw Data'!B814 &lt;&gt; "", IF('Raw Data'!C814 =  "", NOW(), 'Raw Data'!C814), "")</f>
        <v/>
      </c>
    </row>
    <row r="1216" spans="4:4" x14ac:dyDescent="0.35">
      <c r="D1216" s="7" t="str">
        <f ca="1">IF('Raw Data'!B815 &lt;&gt; "", IF('Raw Data'!C815 =  "", NOW(), 'Raw Data'!C815), "")</f>
        <v/>
      </c>
    </row>
    <row r="1217" spans="4:4" x14ac:dyDescent="0.35">
      <c r="D1217" s="7" t="str">
        <f ca="1">IF('Raw Data'!B816 &lt;&gt; "", IF('Raw Data'!C816 =  "", NOW(), 'Raw Data'!C816), "")</f>
        <v/>
      </c>
    </row>
    <row r="1218" spans="4:4" x14ac:dyDescent="0.35">
      <c r="D1218" s="7" t="str">
        <f ca="1">IF('Raw Data'!B817 &lt;&gt; "", IF('Raw Data'!C817 =  "", NOW(), 'Raw Data'!C817), "")</f>
        <v/>
      </c>
    </row>
    <row r="1219" spans="4:4" x14ac:dyDescent="0.35">
      <c r="D1219" s="7" t="str">
        <f ca="1">IF('Raw Data'!B818 &lt;&gt; "", IF('Raw Data'!C818 =  "", NOW(), 'Raw Data'!C818), "")</f>
        <v/>
      </c>
    </row>
    <row r="1220" spans="4:4" x14ac:dyDescent="0.35">
      <c r="D1220" s="7" t="str">
        <f ca="1">IF('Raw Data'!B819 &lt;&gt; "", IF('Raw Data'!C819 =  "", NOW(), 'Raw Data'!C819), "")</f>
        <v/>
      </c>
    </row>
    <row r="1221" spans="4:4" x14ac:dyDescent="0.35">
      <c r="D1221" s="7" t="str">
        <f ca="1">IF('Raw Data'!B820 &lt;&gt; "", IF('Raw Data'!C820 =  "", NOW(), 'Raw Data'!C820), "")</f>
        <v/>
      </c>
    </row>
    <row r="1222" spans="4:4" x14ac:dyDescent="0.35">
      <c r="D1222" s="7" t="str">
        <f ca="1">IF('Raw Data'!B821 &lt;&gt; "", IF('Raw Data'!C821 =  "", NOW(), 'Raw Data'!C821), "")</f>
        <v/>
      </c>
    </row>
    <row r="1223" spans="4:4" x14ac:dyDescent="0.35">
      <c r="D1223" s="7" t="str">
        <f ca="1">IF('Raw Data'!B822 &lt;&gt; "", IF('Raw Data'!C822 =  "", NOW(), 'Raw Data'!C822), "")</f>
        <v/>
      </c>
    </row>
    <row r="1224" spans="4:4" x14ac:dyDescent="0.35">
      <c r="D1224" s="7" t="str">
        <f ca="1">IF('Raw Data'!B823 &lt;&gt; "", IF('Raw Data'!C823 =  "", NOW(), 'Raw Data'!C823), "")</f>
        <v/>
      </c>
    </row>
    <row r="1225" spans="4:4" x14ac:dyDescent="0.35">
      <c r="D1225" s="7" t="str">
        <f ca="1">IF('Raw Data'!B824 &lt;&gt; "", IF('Raw Data'!C824 =  "", NOW(), 'Raw Data'!C824), "")</f>
        <v/>
      </c>
    </row>
    <row r="1226" spans="4:4" x14ac:dyDescent="0.35">
      <c r="D1226" s="7" t="str">
        <f ca="1">IF('Raw Data'!B825 &lt;&gt; "", IF('Raw Data'!C825 =  "", NOW(), 'Raw Data'!C825), "")</f>
        <v/>
      </c>
    </row>
    <row r="1227" spans="4:4" x14ac:dyDescent="0.35">
      <c r="D1227" s="7" t="str">
        <f ca="1">IF('Raw Data'!B826 &lt;&gt; "", IF('Raw Data'!C826 =  "", NOW(), 'Raw Data'!C826), "")</f>
        <v/>
      </c>
    </row>
    <row r="1228" spans="4:4" x14ac:dyDescent="0.35">
      <c r="D1228" s="7" t="str">
        <f ca="1">IF('Raw Data'!B827 &lt;&gt; "", IF('Raw Data'!C827 =  "", NOW(), 'Raw Data'!C827), "")</f>
        <v/>
      </c>
    </row>
    <row r="1229" spans="4:4" x14ac:dyDescent="0.35">
      <c r="D1229" s="7" t="str">
        <f ca="1">IF('Raw Data'!B828 &lt;&gt; "", IF('Raw Data'!C828 =  "", NOW(), 'Raw Data'!C828), "")</f>
        <v/>
      </c>
    </row>
    <row r="1230" spans="4:4" x14ac:dyDescent="0.35">
      <c r="D1230" s="7" t="str">
        <f ca="1">IF('Raw Data'!B829 &lt;&gt; "", IF('Raw Data'!C829 =  "", NOW(), 'Raw Data'!C829), "")</f>
        <v/>
      </c>
    </row>
    <row r="1231" spans="4:4" x14ac:dyDescent="0.35">
      <c r="D1231" s="7" t="str">
        <f ca="1">IF('Raw Data'!B830 &lt;&gt; "", IF('Raw Data'!C830 =  "", NOW(), 'Raw Data'!C830), "")</f>
        <v/>
      </c>
    </row>
    <row r="1232" spans="4:4" x14ac:dyDescent="0.35">
      <c r="D1232" s="7" t="str">
        <f ca="1">IF('Raw Data'!B831 &lt;&gt; "", IF('Raw Data'!C831 =  "", NOW(), 'Raw Data'!C831), "")</f>
        <v/>
      </c>
    </row>
    <row r="1233" spans="4:4" x14ac:dyDescent="0.35">
      <c r="D1233" s="7" t="str">
        <f ca="1">IF('Raw Data'!B832 &lt;&gt; "", IF('Raw Data'!C832 =  "", NOW(), 'Raw Data'!C832), "")</f>
        <v/>
      </c>
    </row>
    <row r="1234" spans="4:4" x14ac:dyDescent="0.35">
      <c r="D1234" s="7" t="str">
        <f ca="1">IF('Raw Data'!B833 &lt;&gt; "", IF('Raw Data'!C833 =  "", NOW(), 'Raw Data'!C833), "")</f>
        <v/>
      </c>
    </row>
    <row r="1235" spans="4:4" x14ac:dyDescent="0.35">
      <c r="D1235" s="7" t="str">
        <f ca="1">IF('Raw Data'!B834 &lt;&gt; "", IF('Raw Data'!C834 =  "", NOW(), 'Raw Data'!C834), "")</f>
        <v/>
      </c>
    </row>
    <row r="1236" spans="4:4" x14ac:dyDescent="0.35">
      <c r="D1236" s="7" t="str">
        <f ca="1">IF('Raw Data'!B835 &lt;&gt; "", IF('Raw Data'!C835 =  "", NOW(), 'Raw Data'!C835), "")</f>
        <v/>
      </c>
    </row>
    <row r="1237" spans="4:4" x14ac:dyDescent="0.35">
      <c r="D1237" s="7" t="str">
        <f ca="1">IF('Raw Data'!B836 &lt;&gt; "", IF('Raw Data'!C836 =  "", NOW(), 'Raw Data'!C836), "")</f>
        <v/>
      </c>
    </row>
    <row r="1238" spans="4:4" x14ac:dyDescent="0.35">
      <c r="D1238" s="7" t="str">
        <f ca="1">IF('Raw Data'!B837 &lt;&gt; "", IF('Raw Data'!C837 =  "", NOW(), 'Raw Data'!C837), "")</f>
        <v/>
      </c>
    </row>
    <row r="1239" spans="4:4" x14ac:dyDescent="0.35">
      <c r="D1239" s="7" t="str">
        <f ca="1">IF('Raw Data'!B838 &lt;&gt; "", IF('Raw Data'!C838 =  "", NOW(), 'Raw Data'!C838), "")</f>
        <v/>
      </c>
    </row>
    <row r="1240" spans="4:4" x14ac:dyDescent="0.35">
      <c r="D1240" s="7" t="str">
        <f ca="1">IF('Raw Data'!B839 &lt;&gt; "", IF('Raw Data'!C839 =  "", NOW(), 'Raw Data'!C839), "")</f>
        <v/>
      </c>
    </row>
    <row r="1241" spans="4:4" x14ac:dyDescent="0.35">
      <c r="D1241" s="7" t="str">
        <f ca="1">IF('Raw Data'!B840 &lt;&gt; "", IF('Raw Data'!C840 =  "", NOW(), 'Raw Data'!C840), "")</f>
        <v/>
      </c>
    </row>
    <row r="1242" spans="4:4" x14ac:dyDescent="0.35">
      <c r="D1242" s="7" t="str">
        <f ca="1">IF('Raw Data'!B841 &lt;&gt; "", IF('Raw Data'!C841 =  "", NOW(), 'Raw Data'!C841), "")</f>
        <v/>
      </c>
    </row>
    <row r="1243" spans="4:4" x14ac:dyDescent="0.35">
      <c r="D1243" s="7" t="str">
        <f ca="1">IF('Raw Data'!B842 &lt;&gt; "", IF('Raw Data'!C842 =  "", NOW(), 'Raw Data'!C842), "")</f>
        <v/>
      </c>
    </row>
    <row r="1244" spans="4:4" x14ac:dyDescent="0.35">
      <c r="D1244" s="7" t="str">
        <f ca="1">IF('Raw Data'!B843 &lt;&gt; "", IF('Raw Data'!C843 =  "", NOW(), 'Raw Data'!C843), "")</f>
        <v/>
      </c>
    </row>
    <row r="1245" spans="4:4" x14ac:dyDescent="0.35">
      <c r="D1245" s="7" t="str">
        <f ca="1">IF('Raw Data'!B844 &lt;&gt; "", IF('Raw Data'!C844 =  "", NOW(), 'Raw Data'!C844), "")</f>
        <v/>
      </c>
    </row>
    <row r="1246" spans="4:4" x14ac:dyDescent="0.35">
      <c r="D1246" s="7" t="str">
        <f ca="1">IF('Raw Data'!B845 &lt;&gt; "", IF('Raw Data'!C845 =  "", NOW(), 'Raw Data'!C845), "")</f>
        <v/>
      </c>
    </row>
    <row r="1247" spans="4:4" x14ac:dyDescent="0.35">
      <c r="D1247" s="7" t="str">
        <f ca="1">IF('Raw Data'!B846 &lt;&gt; "", IF('Raw Data'!C846 =  "", NOW(), 'Raw Data'!C846), "")</f>
        <v/>
      </c>
    </row>
    <row r="1248" spans="4:4" x14ac:dyDescent="0.35">
      <c r="D1248" s="7" t="str">
        <f ca="1">IF('Raw Data'!B847 &lt;&gt; "", IF('Raw Data'!C847 =  "", NOW(), 'Raw Data'!C847), "")</f>
        <v/>
      </c>
    </row>
    <row r="1249" spans="4:4" x14ac:dyDescent="0.35">
      <c r="D1249" s="7" t="str">
        <f ca="1">IF('Raw Data'!B848 &lt;&gt; "", IF('Raw Data'!C848 =  "", NOW(), 'Raw Data'!C848), "")</f>
        <v/>
      </c>
    </row>
    <row r="1250" spans="4:4" x14ac:dyDescent="0.35">
      <c r="D1250" s="7" t="str">
        <f ca="1">IF('Raw Data'!B849 &lt;&gt; "", IF('Raw Data'!C849 =  "", NOW(), 'Raw Data'!C849), "")</f>
        <v/>
      </c>
    </row>
    <row r="1251" spans="4:4" x14ac:dyDescent="0.35">
      <c r="D1251" s="7" t="str">
        <f ca="1">IF('Raw Data'!B850 &lt;&gt; "", IF('Raw Data'!C850 =  "", NOW(), 'Raw Data'!C850), "")</f>
        <v/>
      </c>
    </row>
    <row r="1252" spans="4:4" x14ac:dyDescent="0.35">
      <c r="D1252" s="7" t="str">
        <f ca="1">IF('Raw Data'!B851 &lt;&gt; "", IF('Raw Data'!C851 =  "", NOW(), 'Raw Data'!C851), "")</f>
        <v/>
      </c>
    </row>
    <row r="1253" spans="4:4" x14ac:dyDescent="0.35">
      <c r="D1253" s="7" t="str">
        <f ca="1">IF('Raw Data'!B852 &lt;&gt; "", IF('Raw Data'!C852 =  "", NOW(), 'Raw Data'!C852), "")</f>
        <v/>
      </c>
    </row>
    <row r="1254" spans="4:4" x14ac:dyDescent="0.35">
      <c r="D1254" s="7" t="str">
        <f ca="1">IF('Raw Data'!B853 &lt;&gt; "", IF('Raw Data'!C853 =  "", NOW(), 'Raw Data'!C853), "")</f>
        <v/>
      </c>
    </row>
    <row r="1255" spans="4:4" x14ac:dyDescent="0.35">
      <c r="D1255" s="7" t="str">
        <f ca="1">IF('Raw Data'!B854 &lt;&gt; "", IF('Raw Data'!C854 =  "", NOW(), 'Raw Data'!C854), "")</f>
        <v/>
      </c>
    </row>
    <row r="1256" spans="4:4" x14ac:dyDescent="0.35">
      <c r="D1256" s="7" t="str">
        <f ca="1">IF('Raw Data'!B855 &lt;&gt; "", IF('Raw Data'!C855 =  "", NOW(), 'Raw Data'!C855), "")</f>
        <v/>
      </c>
    </row>
    <row r="1257" spans="4:4" x14ac:dyDescent="0.35">
      <c r="D1257" s="7" t="str">
        <f ca="1">IF('Raw Data'!B856 &lt;&gt; "", IF('Raw Data'!C856 =  "", NOW(), 'Raw Data'!C856), "")</f>
        <v/>
      </c>
    </row>
    <row r="1258" spans="4:4" x14ac:dyDescent="0.35">
      <c r="D1258" s="7" t="str">
        <f ca="1">IF('Raw Data'!B857 &lt;&gt; "", IF('Raw Data'!C857 =  "", NOW(), 'Raw Data'!C857), "")</f>
        <v/>
      </c>
    </row>
    <row r="1259" spans="4:4" x14ac:dyDescent="0.35">
      <c r="D1259" s="7" t="str">
        <f ca="1">IF('Raw Data'!B858 &lt;&gt; "", IF('Raw Data'!C858 =  "", NOW(), 'Raw Data'!C858), "")</f>
        <v/>
      </c>
    </row>
    <row r="1260" spans="4:4" x14ac:dyDescent="0.35">
      <c r="D1260" s="7" t="str">
        <f ca="1">IF('Raw Data'!B859 &lt;&gt; "", IF('Raw Data'!C859 =  "", NOW(), 'Raw Data'!C859), "")</f>
        <v/>
      </c>
    </row>
    <row r="1261" spans="4:4" x14ac:dyDescent="0.35">
      <c r="D1261" s="7" t="str">
        <f ca="1">IF('Raw Data'!B860 &lt;&gt; "", IF('Raw Data'!C860 =  "", NOW(), 'Raw Data'!C860), "")</f>
        <v/>
      </c>
    </row>
    <row r="1262" spans="4:4" x14ac:dyDescent="0.35">
      <c r="D1262" s="7" t="str">
        <f ca="1">IF('Raw Data'!B861 &lt;&gt; "", IF('Raw Data'!C861 =  "", NOW(), 'Raw Data'!C861), "")</f>
        <v/>
      </c>
    </row>
    <row r="1263" spans="4:4" x14ac:dyDescent="0.35">
      <c r="D1263" s="7" t="str">
        <f ca="1">IF('Raw Data'!B862 &lt;&gt; "", IF('Raw Data'!C862 =  "", NOW(), 'Raw Data'!C862), "")</f>
        <v/>
      </c>
    </row>
    <row r="1264" spans="4:4" x14ac:dyDescent="0.35">
      <c r="D1264" s="7" t="str">
        <f ca="1">IF('Raw Data'!B863 &lt;&gt; "", IF('Raw Data'!C863 =  "", NOW(), 'Raw Data'!C863), "")</f>
        <v/>
      </c>
    </row>
    <row r="1265" spans="4:4" x14ac:dyDescent="0.35">
      <c r="D1265" s="7" t="str">
        <f ca="1">IF('Raw Data'!B864 &lt;&gt; "", IF('Raw Data'!C864 =  "", NOW(), 'Raw Data'!C864), "")</f>
        <v/>
      </c>
    </row>
    <row r="1266" spans="4:4" x14ac:dyDescent="0.35">
      <c r="D1266" s="7" t="str">
        <f ca="1">IF('Raw Data'!B865 &lt;&gt; "", IF('Raw Data'!C865 =  "", NOW(), 'Raw Data'!C865), "")</f>
        <v/>
      </c>
    </row>
    <row r="1267" spans="4:4" x14ac:dyDescent="0.35">
      <c r="D1267" s="7" t="str">
        <f ca="1">IF('Raw Data'!B866 &lt;&gt; "", IF('Raw Data'!C866 =  "", NOW(), 'Raw Data'!C866), "")</f>
        <v/>
      </c>
    </row>
    <row r="1268" spans="4:4" x14ac:dyDescent="0.35">
      <c r="D1268" s="7" t="str">
        <f ca="1">IF('Raw Data'!B867 &lt;&gt; "", IF('Raw Data'!C867 =  "", NOW(), 'Raw Data'!C867), "")</f>
        <v/>
      </c>
    </row>
    <row r="1269" spans="4:4" x14ac:dyDescent="0.35">
      <c r="D1269" s="7" t="str">
        <f ca="1">IF('Raw Data'!B868 &lt;&gt; "", IF('Raw Data'!C868 =  "", NOW(), 'Raw Data'!C868), "")</f>
        <v/>
      </c>
    </row>
    <row r="1270" spans="4:4" x14ac:dyDescent="0.35">
      <c r="D1270" s="7" t="str">
        <f ca="1">IF('Raw Data'!B869 &lt;&gt; "", IF('Raw Data'!C869 =  "", NOW(), 'Raw Data'!C869), "")</f>
        <v/>
      </c>
    </row>
    <row r="1271" spans="4:4" x14ac:dyDescent="0.35">
      <c r="D1271" s="7" t="str">
        <f ca="1">IF('Raw Data'!B870 &lt;&gt; "", IF('Raw Data'!C870 =  "", NOW(), 'Raw Data'!C870), "")</f>
        <v/>
      </c>
    </row>
    <row r="1272" spans="4:4" x14ac:dyDescent="0.35">
      <c r="D1272" s="7" t="str">
        <f ca="1">IF('Raw Data'!B871 &lt;&gt; "", IF('Raw Data'!C871 =  "", NOW(), 'Raw Data'!C871), "")</f>
        <v/>
      </c>
    </row>
    <row r="1273" spans="4:4" x14ac:dyDescent="0.35">
      <c r="D1273" s="7" t="str">
        <f ca="1">IF('Raw Data'!B872 &lt;&gt; "", IF('Raw Data'!C872 =  "", NOW(), 'Raw Data'!C872), "")</f>
        <v/>
      </c>
    </row>
    <row r="1274" spans="4:4" x14ac:dyDescent="0.35">
      <c r="D1274" s="7" t="str">
        <f ca="1">IF('Raw Data'!B873 &lt;&gt; "", IF('Raw Data'!C873 =  "", NOW(), 'Raw Data'!C873), "")</f>
        <v/>
      </c>
    </row>
    <row r="1275" spans="4:4" x14ac:dyDescent="0.35">
      <c r="D1275" s="7" t="str">
        <f ca="1">IF('Raw Data'!B874 &lt;&gt; "", IF('Raw Data'!C874 =  "", NOW(), 'Raw Data'!C874), "")</f>
        <v/>
      </c>
    </row>
    <row r="1276" spans="4:4" x14ac:dyDescent="0.35">
      <c r="D1276" s="7" t="str">
        <f ca="1">IF('Raw Data'!B875 &lt;&gt; "", IF('Raw Data'!C875 =  "", NOW(), 'Raw Data'!C875), "")</f>
        <v/>
      </c>
    </row>
    <row r="1277" spans="4:4" x14ac:dyDescent="0.35">
      <c r="D1277" s="7" t="str">
        <f ca="1">IF('Raw Data'!B876 &lt;&gt; "", IF('Raw Data'!C876 =  "", NOW(), 'Raw Data'!C876), "")</f>
        <v/>
      </c>
    </row>
    <row r="1278" spans="4:4" x14ac:dyDescent="0.35">
      <c r="D1278" s="7" t="str">
        <f ca="1">IF('Raw Data'!B877 &lt;&gt; "", IF('Raw Data'!C877 =  "", NOW(), 'Raw Data'!C877), "")</f>
        <v/>
      </c>
    </row>
    <row r="1279" spans="4:4" x14ac:dyDescent="0.35">
      <c r="D1279" s="7" t="str">
        <f ca="1">IF('Raw Data'!B878 &lt;&gt; "", IF('Raw Data'!C878 =  "", NOW(), 'Raw Data'!C878), "")</f>
        <v/>
      </c>
    </row>
    <row r="1280" spans="4:4" x14ac:dyDescent="0.35">
      <c r="D1280" s="7" t="str">
        <f ca="1">IF('Raw Data'!B879 &lt;&gt; "", IF('Raw Data'!C879 =  "", NOW(), 'Raw Data'!C879), "")</f>
        <v/>
      </c>
    </row>
    <row r="1281" spans="4:4" x14ac:dyDescent="0.35">
      <c r="D1281" s="7" t="str">
        <f ca="1">IF('Raw Data'!B880 &lt;&gt; "", IF('Raw Data'!C880 =  "", NOW(), 'Raw Data'!C880), "")</f>
        <v/>
      </c>
    </row>
    <row r="1282" spans="4:4" x14ac:dyDescent="0.35">
      <c r="D1282" s="7" t="str">
        <f ca="1">IF('Raw Data'!B881 &lt;&gt; "", IF('Raw Data'!C881 =  "", NOW(), 'Raw Data'!C881), "")</f>
        <v/>
      </c>
    </row>
    <row r="1283" spans="4:4" x14ac:dyDescent="0.35">
      <c r="D1283" s="7" t="str">
        <f ca="1">IF('Raw Data'!B882 &lt;&gt; "", IF('Raw Data'!C882 =  "", NOW(), 'Raw Data'!C882), "")</f>
        <v/>
      </c>
    </row>
    <row r="1284" spans="4:4" x14ac:dyDescent="0.35">
      <c r="D1284" s="7" t="str">
        <f ca="1">IF('Raw Data'!B883 &lt;&gt; "", IF('Raw Data'!C883 =  "", NOW(), 'Raw Data'!C883), "")</f>
        <v/>
      </c>
    </row>
    <row r="1285" spans="4:4" x14ac:dyDescent="0.35">
      <c r="D1285" s="7" t="str">
        <f ca="1">IF('Raw Data'!B884 &lt;&gt; "", IF('Raw Data'!C884 =  "", NOW(), 'Raw Data'!C884), "")</f>
        <v/>
      </c>
    </row>
    <row r="1286" spans="4:4" x14ac:dyDescent="0.35">
      <c r="D1286" s="7" t="str">
        <f ca="1">IF('Raw Data'!B885 &lt;&gt; "", IF('Raw Data'!C885 =  "", NOW(), 'Raw Data'!C885), "")</f>
        <v/>
      </c>
    </row>
    <row r="1287" spans="4:4" x14ac:dyDescent="0.35">
      <c r="D1287" s="7" t="str">
        <f ca="1">IF('Raw Data'!B886 &lt;&gt; "", IF('Raw Data'!C886 =  "", NOW(), 'Raw Data'!C886), "")</f>
        <v/>
      </c>
    </row>
    <row r="1288" spans="4:4" x14ac:dyDescent="0.35">
      <c r="D1288" s="7" t="str">
        <f ca="1">IF('Raw Data'!B887 &lt;&gt; "", IF('Raw Data'!C887 =  "", NOW(), 'Raw Data'!C887), "")</f>
        <v/>
      </c>
    </row>
    <row r="1289" spans="4:4" x14ac:dyDescent="0.35">
      <c r="D1289" s="7" t="str">
        <f ca="1">IF('Raw Data'!B888 &lt;&gt; "", IF('Raw Data'!C888 =  "", NOW(), 'Raw Data'!C888), "")</f>
        <v/>
      </c>
    </row>
    <row r="1290" spans="4:4" x14ac:dyDescent="0.35">
      <c r="D1290" s="7" t="str">
        <f ca="1">IF('Raw Data'!B889 &lt;&gt; "", IF('Raw Data'!C889 =  "", NOW(), 'Raw Data'!C889), "")</f>
        <v/>
      </c>
    </row>
    <row r="1291" spans="4:4" x14ac:dyDescent="0.35">
      <c r="D1291" s="7" t="str">
        <f ca="1">IF('Raw Data'!B890 &lt;&gt; "", IF('Raw Data'!C890 =  "", NOW(), 'Raw Data'!C890), "")</f>
        <v/>
      </c>
    </row>
    <row r="1292" spans="4:4" x14ac:dyDescent="0.35">
      <c r="D1292" s="7" t="str">
        <f ca="1">IF('Raw Data'!B891 &lt;&gt; "", IF('Raw Data'!C891 =  "", NOW(), 'Raw Data'!C891), "")</f>
        <v/>
      </c>
    </row>
    <row r="1293" spans="4:4" x14ac:dyDescent="0.35">
      <c r="D1293" s="7" t="str">
        <f ca="1">IF('Raw Data'!B892 &lt;&gt; "", IF('Raw Data'!C892 =  "", NOW(), 'Raw Data'!C892), "")</f>
        <v/>
      </c>
    </row>
    <row r="1294" spans="4:4" x14ac:dyDescent="0.35">
      <c r="D1294" s="7" t="str">
        <f ca="1">IF('Raw Data'!B893 &lt;&gt; "", IF('Raw Data'!C893 =  "", NOW(), 'Raw Data'!C893), "")</f>
        <v/>
      </c>
    </row>
    <row r="1295" spans="4:4" x14ac:dyDescent="0.35">
      <c r="D1295" s="7" t="str">
        <f ca="1">IF('Raw Data'!B894 &lt;&gt; "", IF('Raw Data'!C894 =  "", NOW(), 'Raw Data'!C894), "")</f>
        <v/>
      </c>
    </row>
    <row r="1296" spans="4:4" x14ac:dyDescent="0.35">
      <c r="D1296" s="7" t="str">
        <f ca="1">IF('Raw Data'!B895 &lt;&gt; "", IF('Raw Data'!C895 =  "", NOW(), 'Raw Data'!C895), "")</f>
        <v/>
      </c>
    </row>
    <row r="1297" spans="4:4" x14ac:dyDescent="0.35">
      <c r="D1297" s="7" t="str">
        <f ca="1">IF('Raw Data'!B896 &lt;&gt; "", IF('Raw Data'!C896 =  "", NOW(), 'Raw Data'!C896), "")</f>
        <v/>
      </c>
    </row>
    <row r="1298" spans="4:4" x14ac:dyDescent="0.35">
      <c r="D1298" s="7" t="str">
        <f ca="1">IF('Raw Data'!B897 &lt;&gt; "", IF('Raw Data'!C897 =  "", NOW(), 'Raw Data'!C897), "")</f>
        <v/>
      </c>
    </row>
    <row r="1299" spans="4:4" x14ac:dyDescent="0.35">
      <c r="D1299" s="7" t="str">
        <f ca="1">IF('Raw Data'!B898 &lt;&gt; "", IF('Raw Data'!C898 =  "", NOW(), 'Raw Data'!C898), "")</f>
        <v/>
      </c>
    </row>
    <row r="1300" spans="4:4" x14ac:dyDescent="0.35">
      <c r="D1300" s="7" t="str">
        <f ca="1">IF('Raw Data'!B899 &lt;&gt; "", IF('Raw Data'!C899 =  "", NOW(), 'Raw Data'!C899), "")</f>
        <v/>
      </c>
    </row>
    <row r="1301" spans="4:4" x14ac:dyDescent="0.35">
      <c r="D1301" s="7" t="str">
        <f ca="1">IF('Raw Data'!B900 &lt;&gt; "", IF('Raw Data'!C900 =  "", NOW(), 'Raw Data'!C900), "")</f>
        <v/>
      </c>
    </row>
    <row r="1302" spans="4:4" x14ac:dyDescent="0.35">
      <c r="D1302" s="7" t="str">
        <f ca="1">IF('Raw Data'!B901 &lt;&gt; "", IF('Raw Data'!C901 =  "", NOW(), 'Raw Data'!C901), "")</f>
        <v/>
      </c>
    </row>
    <row r="1303" spans="4:4" x14ac:dyDescent="0.35">
      <c r="D1303" s="7" t="str">
        <f ca="1">IF('Raw Data'!B902 &lt;&gt; "", IF('Raw Data'!C902 =  "", NOW(), 'Raw Data'!C902), "")</f>
        <v/>
      </c>
    </row>
    <row r="1304" spans="4:4" x14ac:dyDescent="0.35">
      <c r="D1304" s="7" t="str">
        <f ca="1">IF('Raw Data'!B903 &lt;&gt; "", IF('Raw Data'!C903 =  "", NOW(), 'Raw Data'!C903), "")</f>
        <v/>
      </c>
    </row>
    <row r="1305" spans="4:4" x14ac:dyDescent="0.35">
      <c r="D1305" s="7" t="str">
        <f ca="1">IF('Raw Data'!B904 &lt;&gt; "", IF('Raw Data'!C904 =  "", NOW(), 'Raw Data'!C904), "")</f>
        <v/>
      </c>
    </row>
    <row r="1306" spans="4:4" x14ac:dyDescent="0.35">
      <c r="D1306" s="7" t="str">
        <f ca="1">IF('Raw Data'!B905 &lt;&gt; "", IF('Raw Data'!C905 =  "", NOW(), 'Raw Data'!C905), "")</f>
        <v/>
      </c>
    </row>
    <row r="1307" spans="4:4" x14ac:dyDescent="0.35">
      <c r="D1307" s="7" t="str">
        <f ca="1">IF('Raw Data'!B906 &lt;&gt; "", IF('Raw Data'!C906 =  "", NOW(), 'Raw Data'!C906), "")</f>
        <v/>
      </c>
    </row>
    <row r="1308" spans="4:4" x14ac:dyDescent="0.35">
      <c r="D1308" s="7" t="str">
        <f ca="1">IF('Raw Data'!B907 &lt;&gt; "", IF('Raw Data'!C907 =  "", NOW(), 'Raw Data'!C907), "")</f>
        <v/>
      </c>
    </row>
    <row r="1309" spans="4:4" x14ac:dyDescent="0.35">
      <c r="D1309" s="7" t="str">
        <f ca="1">IF('Raw Data'!B908 &lt;&gt; "", IF('Raw Data'!C908 =  "", NOW(), 'Raw Data'!C908), "")</f>
        <v/>
      </c>
    </row>
    <row r="1310" spans="4:4" x14ac:dyDescent="0.35">
      <c r="D1310" s="7" t="str">
        <f ca="1">IF('Raw Data'!B909 &lt;&gt; "", IF('Raw Data'!C909 =  "", NOW(), 'Raw Data'!C909), "")</f>
        <v/>
      </c>
    </row>
    <row r="1311" spans="4:4" x14ac:dyDescent="0.35">
      <c r="D1311" s="7" t="str">
        <f ca="1">IF('Raw Data'!B910 &lt;&gt; "", IF('Raw Data'!C910 =  "", NOW(), 'Raw Data'!C910), "")</f>
        <v/>
      </c>
    </row>
    <row r="1312" spans="4:4" x14ac:dyDescent="0.35">
      <c r="D1312" s="7" t="str">
        <f ca="1">IF('Raw Data'!B911 &lt;&gt; "", IF('Raw Data'!C911 =  "", NOW(), 'Raw Data'!C911), "")</f>
        <v/>
      </c>
    </row>
    <row r="1313" spans="4:4" x14ac:dyDescent="0.35">
      <c r="D1313" s="7" t="str">
        <f ca="1">IF('Raw Data'!B912 &lt;&gt; "", IF('Raw Data'!C912 =  "", NOW(), 'Raw Data'!C912), "")</f>
        <v/>
      </c>
    </row>
    <row r="1314" spans="4:4" x14ac:dyDescent="0.35">
      <c r="D1314" s="7" t="str">
        <f ca="1">IF('Raw Data'!B913 &lt;&gt; "", IF('Raw Data'!C913 =  "", NOW(), 'Raw Data'!C913), "")</f>
        <v/>
      </c>
    </row>
    <row r="1315" spans="4:4" x14ac:dyDescent="0.35">
      <c r="D1315" s="7" t="str">
        <f ca="1">IF('Raw Data'!B914 &lt;&gt; "", IF('Raw Data'!C914 =  "", NOW(), 'Raw Data'!C914), "")</f>
        <v/>
      </c>
    </row>
    <row r="1316" spans="4:4" x14ac:dyDescent="0.35">
      <c r="D1316" s="7" t="str">
        <f ca="1">IF('Raw Data'!B915 &lt;&gt; "", IF('Raw Data'!C915 =  "", NOW(), 'Raw Data'!C915), "")</f>
        <v/>
      </c>
    </row>
    <row r="1317" spans="4:4" x14ac:dyDescent="0.35">
      <c r="D1317" s="7" t="str">
        <f ca="1">IF('Raw Data'!B916 &lt;&gt; "", IF('Raw Data'!C916 =  "", NOW(), 'Raw Data'!C916), "")</f>
        <v/>
      </c>
    </row>
    <row r="1318" spans="4:4" x14ac:dyDescent="0.35">
      <c r="D1318" s="7" t="str">
        <f ca="1">IF('Raw Data'!B917 &lt;&gt; "", IF('Raw Data'!C917 =  "", NOW(), 'Raw Data'!C917), "")</f>
        <v/>
      </c>
    </row>
    <row r="1319" spans="4:4" x14ac:dyDescent="0.35">
      <c r="D1319" s="7" t="str">
        <f ca="1">IF('Raw Data'!B918 &lt;&gt; "", IF('Raw Data'!C918 =  "", NOW(), 'Raw Data'!C918), "")</f>
        <v/>
      </c>
    </row>
    <row r="1320" spans="4:4" x14ac:dyDescent="0.35">
      <c r="D1320" s="7" t="str">
        <f ca="1">IF('Raw Data'!B919 &lt;&gt; "", IF('Raw Data'!C919 =  "", NOW(), 'Raw Data'!C919), "")</f>
        <v/>
      </c>
    </row>
    <row r="1321" spans="4:4" x14ac:dyDescent="0.35">
      <c r="D1321" s="7" t="str">
        <f ca="1">IF('Raw Data'!B920 &lt;&gt; "", IF('Raw Data'!C920 =  "", NOW(), 'Raw Data'!C920), "")</f>
        <v/>
      </c>
    </row>
    <row r="1322" spans="4:4" x14ac:dyDescent="0.35">
      <c r="D1322" s="7" t="str">
        <f ca="1">IF('Raw Data'!B921 &lt;&gt; "", IF('Raw Data'!C921 =  "", NOW(), 'Raw Data'!C921), "")</f>
        <v/>
      </c>
    </row>
    <row r="1323" spans="4:4" x14ac:dyDescent="0.35">
      <c r="D1323" s="7" t="str">
        <f ca="1">IF('Raw Data'!B922 &lt;&gt; "", IF('Raw Data'!C922 =  "", NOW(), 'Raw Data'!C922), "")</f>
        <v/>
      </c>
    </row>
    <row r="1324" spans="4:4" x14ac:dyDescent="0.35">
      <c r="D1324" s="7" t="str">
        <f ca="1">IF('Raw Data'!B923 &lt;&gt; "", IF('Raw Data'!C923 =  "", NOW(), 'Raw Data'!C923), "")</f>
        <v/>
      </c>
    </row>
    <row r="1325" spans="4:4" x14ac:dyDescent="0.35">
      <c r="D1325" s="7" t="str">
        <f ca="1">IF('Raw Data'!B924 &lt;&gt; "", IF('Raw Data'!C924 =  "", NOW(), 'Raw Data'!C924), "")</f>
        <v/>
      </c>
    </row>
    <row r="1326" spans="4:4" x14ac:dyDescent="0.35">
      <c r="D1326" s="7" t="str">
        <f ca="1">IF('Raw Data'!B925 &lt;&gt; "", IF('Raw Data'!C925 =  "", NOW(), 'Raw Data'!C925), "")</f>
        <v/>
      </c>
    </row>
    <row r="1327" spans="4:4" x14ac:dyDescent="0.35">
      <c r="D1327" s="7" t="str">
        <f ca="1">IF('Raw Data'!B926 &lt;&gt; "", IF('Raw Data'!C926 =  "", NOW(), 'Raw Data'!C926), "")</f>
        <v/>
      </c>
    </row>
    <row r="1328" spans="4:4" x14ac:dyDescent="0.35">
      <c r="D1328" s="7" t="str">
        <f ca="1">IF('Raw Data'!B927 &lt;&gt; "", IF('Raw Data'!C927 =  "", NOW(), 'Raw Data'!C927), "")</f>
        <v/>
      </c>
    </row>
    <row r="1329" spans="4:4" x14ac:dyDescent="0.35">
      <c r="D1329" s="7" t="str">
        <f ca="1">IF('Raw Data'!B928 &lt;&gt; "", IF('Raw Data'!C928 =  "", NOW(), 'Raw Data'!C928), "")</f>
        <v/>
      </c>
    </row>
    <row r="1330" spans="4:4" x14ac:dyDescent="0.35">
      <c r="D1330" s="7" t="str">
        <f ca="1">IF('Raw Data'!B929 &lt;&gt; "", IF('Raw Data'!C929 =  "", NOW(), 'Raw Data'!C929), "")</f>
        <v/>
      </c>
    </row>
    <row r="1331" spans="4:4" x14ac:dyDescent="0.35">
      <c r="D1331" s="7" t="str">
        <f ca="1">IF('Raw Data'!B930 &lt;&gt; "", IF('Raw Data'!C930 =  "", NOW(), 'Raw Data'!C930), "")</f>
        <v/>
      </c>
    </row>
    <row r="1332" spans="4:4" x14ac:dyDescent="0.35">
      <c r="D1332" s="7" t="str">
        <f ca="1">IF('Raw Data'!B931 &lt;&gt; "", IF('Raw Data'!C931 =  "", NOW(), 'Raw Data'!C931), "")</f>
        <v/>
      </c>
    </row>
    <row r="1333" spans="4:4" x14ac:dyDescent="0.35">
      <c r="D1333" s="7" t="str">
        <f ca="1">IF('Raw Data'!B932 &lt;&gt; "", IF('Raw Data'!C932 =  "", NOW(), 'Raw Data'!C932), "")</f>
        <v/>
      </c>
    </row>
    <row r="1334" spans="4:4" x14ac:dyDescent="0.35">
      <c r="D1334" s="7" t="str">
        <f ca="1">IF('Raw Data'!B933 &lt;&gt; "", IF('Raw Data'!C933 =  "", NOW(), 'Raw Data'!C933), "")</f>
        <v/>
      </c>
    </row>
    <row r="1335" spans="4:4" x14ac:dyDescent="0.35">
      <c r="D1335" s="7" t="str">
        <f ca="1">IF('Raw Data'!B934 &lt;&gt; "", IF('Raw Data'!C934 =  "", NOW(), 'Raw Data'!C934), "")</f>
        <v/>
      </c>
    </row>
    <row r="1336" spans="4:4" x14ac:dyDescent="0.35">
      <c r="D1336" s="7" t="str">
        <f ca="1">IF('Raw Data'!B935 &lt;&gt; "", IF('Raw Data'!C935 =  "", NOW(), 'Raw Data'!C935), "")</f>
        <v/>
      </c>
    </row>
    <row r="1337" spans="4:4" x14ac:dyDescent="0.35">
      <c r="D1337" s="7" t="str">
        <f ca="1">IF('Raw Data'!B936 &lt;&gt; "", IF('Raw Data'!C936 =  "", NOW(), 'Raw Data'!C936), "")</f>
        <v/>
      </c>
    </row>
    <row r="1338" spans="4:4" x14ac:dyDescent="0.35">
      <c r="D1338" s="7" t="str">
        <f ca="1">IF('Raw Data'!B937 &lt;&gt; "", IF('Raw Data'!C937 =  "", NOW(), 'Raw Data'!C937), "")</f>
        <v/>
      </c>
    </row>
    <row r="1339" spans="4:4" x14ac:dyDescent="0.35">
      <c r="D1339" s="7" t="str">
        <f ca="1">IF('Raw Data'!B938 &lt;&gt; "", IF('Raw Data'!C938 =  "", NOW(), 'Raw Data'!C938), "")</f>
        <v/>
      </c>
    </row>
    <row r="1340" spans="4:4" x14ac:dyDescent="0.35">
      <c r="D1340" s="7" t="str">
        <f ca="1">IF('Raw Data'!B939 &lt;&gt; "", IF('Raw Data'!C939 =  "", NOW(), 'Raw Data'!C939), "")</f>
        <v/>
      </c>
    </row>
    <row r="1341" spans="4:4" x14ac:dyDescent="0.35">
      <c r="D1341" s="7" t="str">
        <f ca="1">IF('Raw Data'!B940 &lt;&gt; "", IF('Raw Data'!C940 =  "", NOW(), 'Raw Data'!C940), "")</f>
        <v/>
      </c>
    </row>
    <row r="1342" spans="4:4" x14ac:dyDescent="0.35">
      <c r="D1342" s="7" t="str">
        <f ca="1">IF('Raw Data'!B941 &lt;&gt; "", IF('Raw Data'!C941 =  "", NOW(), 'Raw Data'!C941), "")</f>
        <v/>
      </c>
    </row>
    <row r="1343" spans="4:4" x14ac:dyDescent="0.35">
      <c r="D1343" s="7" t="str">
        <f ca="1">IF('Raw Data'!B942 &lt;&gt; "", IF('Raw Data'!C942 =  "", NOW(), 'Raw Data'!C942), "")</f>
        <v/>
      </c>
    </row>
    <row r="1344" spans="4:4" x14ac:dyDescent="0.35">
      <c r="D1344" s="7" t="str">
        <f ca="1">IF('Raw Data'!B943 &lt;&gt; "", IF('Raw Data'!C943 =  "", NOW(), 'Raw Data'!C943), "")</f>
        <v/>
      </c>
    </row>
    <row r="1345" spans="4:4" x14ac:dyDescent="0.35">
      <c r="D1345" s="7" t="str">
        <f ca="1">IF('Raw Data'!B944 &lt;&gt; "", IF('Raw Data'!C944 =  "", NOW(), 'Raw Data'!C944), "")</f>
        <v/>
      </c>
    </row>
    <row r="1346" spans="4:4" x14ac:dyDescent="0.35">
      <c r="D1346" s="7" t="str">
        <f ca="1">IF('Raw Data'!B945 &lt;&gt; "", IF('Raw Data'!C945 =  "", NOW(), 'Raw Data'!C945), "")</f>
        <v/>
      </c>
    </row>
    <row r="1347" spans="4:4" x14ac:dyDescent="0.35">
      <c r="D1347" s="7" t="str">
        <f ca="1">IF('Raw Data'!B946 &lt;&gt; "", IF('Raw Data'!C946 =  "", NOW(), 'Raw Data'!C946), "")</f>
        <v/>
      </c>
    </row>
    <row r="1348" spans="4:4" x14ac:dyDescent="0.35">
      <c r="D1348" s="7" t="str">
        <f ca="1">IF('Raw Data'!B947 &lt;&gt; "", IF('Raw Data'!C947 =  "", NOW(), 'Raw Data'!C947), "")</f>
        <v/>
      </c>
    </row>
    <row r="1349" spans="4:4" x14ac:dyDescent="0.35">
      <c r="D1349" s="7" t="str">
        <f ca="1">IF('Raw Data'!B948 &lt;&gt; "", IF('Raw Data'!C948 =  "", NOW(), 'Raw Data'!C948), "")</f>
        <v/>
      </c>
    </row>
    <row r="1350" spans="4:4" x14ac:dyDescent="0.35">
      <c r="D1350" s="7" t="str">
        <f ca="1">IF('Raw Data'!B949 &lt;&gt; "", IF('Raw Data'!C949 =  "", NOW(), 'Raw Data'!C949), "")</f>
        <v/>
      </c>
    </row>
    <row r="1351" spans="4:4" x14ac:dyDescent="0.35">
      <c r="D1351" s="7" t="str">
        <f ca="1">IF('Raw Data'!B950 &lt;&gt; "", IF('Raw Data'!C950 =  "", NOW(), 'Raw Data'!C950), "")</f>
        <v/>
      </c>
    </row>
    <row r="1352" spans="4:4" x14ac:dyDescent="0.35">
      <c r="D1352" s="7" t="str">
        <f ca="1">IF('Raw Data'!B951 &lt;&gt; "", IF('Raw Data'!C951 =  "", NOW(), 'Raw Data'!C951), "")</f>
        <v/>
      </c>
    </row>
    <row r="1353" spans="4:4" x14ac:dyDescent="0.35">
      <c r="D1353" s="7" t="str">
        <f ca="1">IF('Raw Data'!B952 &lt;&gt; "", IF('Raw Data'!C952 =  "", NOW(), 'Raw Data'!C952), "")</f>
        <v/>
      </c>
    </row>
    <row r="1354" spans="4:4" x14ac:dyDescent="0.35">
      <c r="D1354" s="7" t="str">
        <f ca="1">IF('Raw Data'!B953 &lt;&gt; "", IF('Raw Data'!C953 =  "", NOW(), 'Raw Data'!C953), "")</f>
        <v/>
      </c>
    </row>
  </sheetData>
  <scenarios current="1" show="0" sqref="J409">
    <scenario name="Best Case" locked="1" count="2" user="Lenovo" comment="Created by Lenovo on 29-05-2026">
      <inputCells r="I407" val="7" numFmtId="1"/>
      <inputCells r="I408" val="1200" numFmtId="1"/>
    </scenario>
    <scenario name="Average Case" locked="1" count="2" user="Lenovo" comment="Created by Lenovo on 29-05-2026">
      <inputCells r="I407" val="5" numFmtId="1"/>
      <inputCells r="I408" val="1000" numFmtId="1"/>
    </scenario>
    <scenario name="Worst Case" locked="1" count="2" user="Lenovo" comment="Created by Lenovo on 29-05-2026">
      <inputCells r="I407" val="3" numFmtId="1"/>
      <inputCells r="I408" val="800" numFmtId="1"/>
    </scenario>
  </scenarios>
  <mergeCells count="26">
    <mergeCell ref="C405:E405"/>
    <mergeCell ref="C404:E404"/>
    <mergeCell ref="I404:J404"/>
    <mergeCell ref="N404:O404"/>
    <mergeCell ref="C403:E403"/>
    <mergeCell ref="B261:AG262"/>
    <mergeCell ref="B4:J4"/>
    <mergeCell ref="B6:J6"/>
    <mergeCell ref="B2:J3"/>
    <mergeCell ref="H401:P402"/>
    <mergeCell ref="B263:AG263"/>
    <mergeCell ref="B265:AG265"/>
    <mergeCell ref="S264:AF264"/>
    <mergeCell ref="C264:P264"/>
    <mergeCell ref="C401:E402"/>
    <mergeCell ref="H473:M474"/>
    <mergeCell ref="I476:L476"/>
    <mergeCell ref="H475:M475"/>
    <mergeCell ref="H414:K415"/>
    <mergeCell ref="H416:K416"/>
    <mergeCell ref="H418:K418"/>
    <mergeCell ref="H488:J488"/>
    <mergeCell ref="H487:J487"/>
    <mergeCell ref="H477:M477"/>
    <mergeCell ref="H484:J485"/>
    <mergeCell ref="H486:J48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FF909-B7B2-41F9-9D67-5C15953F47FC}">
  <sheetPr>
    <outlinePr summaryBelow="0"/>
  </sheetPr>
  <dimension ref="B1:G12"/>
  <sheetViews>
    <sheetView showGridLines="0" workbookViewId="0">
      <selection activeCell="E7" sqref="E7"/>
    </sheetView>
  </sheetViews>
  <sheetFormatPr defaultRowHeight="14.5" outlineLevelRow="1" outlineLevelCol="1" x14ac:dyDescent="0.35"/>
  <cols>
    <col min="3" max="3" width="6.54296875" bestFit="1" customWidth="1"/>
    <col min="4" max="7" width="12.6328125" bestFit="1" customWidth="1" outlineLevel="1"/>
  </cols>
  <sheetData>
    <row r="1" spans="2:7" ht="15" thickBot="1" x14ac:dyDescent="0.4"/>
    <row r="2" spans="2:7" ht="16" x14ac:dyDescent="0.4">
      <c r="B2" s="37" t="s">
        <v>442</v>
      </c>
      <c r="C2" s="37"/>
      <c r="D2" s="41"/>
      <c r="E2" s="41"/>
      <c r="F2" s="41"/>
      <c r="G2" s="41"/>
    </row>
    <row r="3" spans="2:7" ht="16" collapsed="1" x14ac:dyDescent="0.4">
      <c r="B3" s="36"/>
      <c r="C3" s="36"/>
      <c r="D3" s="42" t="s">
        <v>444</v>
      </c>
      <c r="E3" s="42" t="s">
        <v>436</v>
      </c>
      <c r="F3" s="42" t="s">
        <v>437</v>
      </c>
      <c r="G3" s="42" t="s">
        <v>438</v>
      </c>
    </row>
    <row r="4" spans="2:7" ht="21" hidden="1" outlineLevel="1" x14ac:dyDescent="0.35">
      <c r="B4" s="39"/>
      <c r="C4" s="39"/>
      <c r="E4" s="43" t="s">
        <v>441</v>
      </c>
      <c r="F4" s="43" t="s">
        <v>441</v>
      </c>
      <c r="G4" s="43" t="s">
        <v>441</v>
      </c>
    </row>
    <row r="5" spans="2:7" x14ac:dyDescent="0.35">
      <c r="B5" s="40" t="s">
        <v>443</v>
      </c>
      <c r="C5" s="40"/>
      <c r="D5" s="38"/>
      <c r="E5" s="38"/>
      <c r="F5" s="38"/>
      <c r="G5" s="38"/>
    </row>
    <row r="6" spans="2:7" outlineLevel="1" x14ac:dyDescent="0.35">
      <c r="B6" s="39"/>
      <c r="C6" s="39" t="s">
        <v>439</v>
      </c>
      <c r="D6" s="44">
        <v>7</v>
      </c>
      <c r="E6" s="47">
        <v>7</v>
      </c>
      <c r="F6" s="47">
        <v>5</v>
      </c>
      <c r="G6" s="47">
        <v>3</v>
      </c>
    </row>
    <row r="7" spans="2:7" outlineLevel="1" x14ac:dyDescent="0.35">
      <c r="B7" s="39"/>
      <c r="C7" s="39" t="s">
        <v>440</v>
      </c>
      <c r="D7" s="44">
        <v>1200</v>
      </c>
      <c r="E7" s="47">
        <v>1200</v>
      </c>
      <c r="F7" s="47">
        <v>1000</v>
      </c>
      <c r="G7" s="47">
        <v>800</v>
      </c>
    </row>
    <row r="8" spans="2:7" x14ac:dyDescent="0.35">
      <c r="B8" s="40" t="s">
        <v>449</v>
      </c>
      <c r="C8" s="40"/>
      <c r="D8" s="38"/>
      <c r="E8" s="38"/>
      <c r="F8" s="38"/>
      <c r="G8" s="38"/>
    </row>
    <row r="9" spans="2:7" ht="15" outlineLevel="1" thickBot="1" x14ac:dyDescent="0.4">
      <c r="B9" s="46"/>
      <c r="C9" s="46" t="s">
        <v>448</v>
      </c>
      <c r="D9" s="45">
        <v>8400</v>
      </c>
      <c r="E9" s="45">
        <v>8400</v>
      </c>
      <c r="F9" s="45">
        <v>5000</v>
      </c>
      <c r="G9" s="45">
        <v>2400</v>
      </c>
    </row>
    <row r="10" spans="2:7" x14ac:dyDescent="0.35">
      <c r="B10" t="s">
        <v>445</v>
      </c>
    </row>
    <row r="11" spans="2:7" x14ac:dyDescent="0.35">
      <c r="B11" t="s">
        <v>446</v>
      </c>
    </row>
    <row r="12" spans="2:7" x14ac:dyDescent="0.35">
      <c r="B12" t="s">
        <v>447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AB8C0-C757-45DA-B958-8B05D0A461FB}">
  <dimension ref="A1:I18"/>
  <sheetViews>
    <sheetView workbookViewId="0"/>
  </sheetViews>
  <sheetFormatPr defaultRowHeight="14.5" x14ac:dyDescent="0.35"/>
  <cols>
    <col min="1" max="1" width="14.1796875" customWidth="1"/>
    <col min="2" max="2" width="13.08984375" customWidth="1"/>
    <col min="6" max="6" width="13.6328125" customWidth="1"/>
    <col min="7" max="7" width="12.6328125" customWidth="1"/>
    <col min="8" max="8" width="11.453125" customWidth="1"/>
    <col min="9" max="9" width="12.36328125" customWidth="1"/>
  </cols>
  <sheetData>
    <row r="1" spans="1:9" x14ac:dyDescent="0.35">
      <c r="A1" s="25" t="s">
        <v>453</v>
      </c>
    </row>
    <row r="3" spans="1:9" x14ac:dyDescent="0.35">
      <c r="A3" s="117" t="s">
        <v>454</v>
      </c>
      <c r="B3" s="117"/>
    </row>
    <row r="4" spans="1:9" x14ac:dyDescent="0.35">
      <c r="A4" s="60" t="s">
        <v>455</v>
      </c>
      <c r="B4" s="60">
        <v>0.45808036093237842</v>
      </c>
    </row>
    <row r="5" spans="1:9" x14ac:dyDescent="0.35">
      <c r="A5" s="60" t="s">
        <v>456</v>
      </c>
      <c r="B5" s="60">
        <v>0.2098376170719381</v>
      </c>
    </row>
    <row r="6" spans="1:9" x14ac:dyDescent="0.35">
      <c r="A6" s="60" t="s">
        <v>457</v>
      </c>
      <c r="B6" s="60">
        <v>0.20665147843109913</v>
      </c>
    </row>
    <row r="7" spans="1:9" x14ac:dyDescent="0.35">
      <c r="A7" s="60" t="s">
        <v>458</v>
      </c>
      <c r="B7" s="60">
        <v>919.60715349471081</v>
      </c>
    </row>
    <row r="8" spans="1:9" x14ac:dyDescent="0.35">
      <c r="A8" s="60" t="s">
        <v>459</v>
      </c>
      <c r="B8" s="60">
        <v>250</v>
      </c>
    </row>
    <row r="10" spans="1:9" x14ac:dyDescent="0.35">
      <c r="A10" s="25" t="s">
        <v>460</v>
      </c>
    </row>
    <row r="11" spans="1:9" x14ac:dyDescent="0.35">
      <c r="A11" s="59"/>
      <c r="B11" s="59" t="s">
        <v>465</v>
      </c>
      <c r="C11" s="59" t="s">
        <v>466</v>
      </c>
      <c r="D11" s="59" t="s">
        <v>467</v>
      </c>
      <c r="E11" s="59" t="s">
        <v>468</v>
      </c>
      <c r="F11" s="59" t="s">
        <v>469</v>
      </c>
    </row>
    <row r="12" spans="1:9" x14ac:dyDescent="0.35">
      <c r="A12" s="32" t="s">
        <v>461</v>
      </c>
      <c r="B12" s="60">
        <v>1</v>
      </c>
      <c r="C12" s="60">
        <v>55695916.896352619</v>
      </c>
      <c r="D12" s="60">
        <v>55695916.896352619</v>
      </c>
      <c r="E12" s="60">
        <v>65.859537429508919</v>
      </c>
      <c r="F12" s="60">
        <v>2.2586478953134677E-14</v>
      </c>
    </row>
    <row r="13" spans="1:9" x14ac:dyDescent="0.35">
      <c r="A13" s="32" t="s">
        <v>462</v>
      </c>
      <c r="B13" s="60">
        <v>248</v>
      </c>
      <c r="C13" s="60">
        <v>209727974.55614385</v>
      </c>
      <c r="D13" s="60">
        <v>845677.31675864453</v>
      </c>
      <c r="E13" s="60"/>
      <c r="F13" s="60"/>
    </row>
    <row r="14" spans="1:9" x14ac:dyDescent="0.35">
      <c r="A14" s="32" t="s">
        <v>463</v>
      </c>
      <c r="B14" s="60">
        <v>249</v>
      </c>
      <c r="C14" s="60">
        <v>265423891.45249647</v>
      </c>
      <c r="D14" s="60"/>
      <c r="E14" s="60"/>
      <c r="F14" s="60"/>
    </row>
    <row r="15" spans="1:9" ht="15" thickBot="1" x14ac:dyDescent="0.4"/>
    <row r="16" spans="1:9" x14ac:dyDescent="0.35">
      <c r="A16" s="58"/>
      <c r="B16" s="58" t="s">
        <v>470</v>
      </c>
      <c r="C16" s="58" t="s">
        <v>458</v>
      </c>
      <c r="D16" s="58" t="s">
        <v>471</v>
      </c>
      <c r="E16" s="58" t="s">
        <v>472</v>
      </c>
      <c r="F16" s="58" t="s">
        <v>473</v>
      </c>
      <c r="G16" s="58" t="s">
        <v>474</v>
      </c>
      <c r="H16" s="58" t="s">
        <v>475</v>
      </c>
      <c r="I16" s="58" t="s">
        <v>476</v>
      </c>
    </row>
    <row r="17" spans="1:9" x14ac:dyDescent="0.35">
      <c r="A17" s="31" t="s">
        <v>464</v>
      </c>
      <c r="B17" s="31">
        <v>-148.85464891541903</v>
      </c>
      <c r="C17" s="31">
        <v>143.61334429876464</v>
      </c>
      <c r="D17" s="31">
        <v>-1.0364959443166415</v>
      </c>
      <c r="E17" s="31">
        <v>0.30098040367911694</v>
      </c>
      <c r="F17" s="31">
        <v>-431.71199538208884</v>
      </c>
      <c r="G17" s="31">
        <v>134.00269755125078</v>
      </c>
      <c r="H17" s="31">
        <v>-431.71199538208884</v>
      </c>
      <c r="I17" s="31">
        <v>134.00269755125078</v>
      </c>
    </row>
    <row r="18" spans="1:9" ht="15" thickBot="1" x14ac:dyDescent="0.4">
      <c r="A18" s="57" t="s">
        <v>477</v>
      </c>
      <c r="B18" s="57">
        <v>353.7930042879882</v>
      </c>
      <c r="C18" s="57">
        <v>43.595323340526868</v>
      </c>
      <c r="D18" s="57">
        <v>8.1153889265708674</v>
      </c>
      <c r="E18" s="57">
        <v>2.2586478953133775E-14</v>
      </c>
      <c r="F18" s="57">
        <v>267.92871682452869</v>
      </c>
      <c r="G18" s="57">
        <v>439.6572917514477</v>
      </c>
      <c r="H18" s="57">
        <v>267.92871682452869</v>
      </c>
      <c r="I18" s="57">
        <v>439.6572917514477</v>
      </c>
    </row>
  </sheetData>
  <mergeCells count="1">
    <mergeCell ref="A3:B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872A8-CC22-43FF-9AE4-8211805A5E1F}">
  <dimension ref="B3:H27"/>
  <sheetViews>
    <sheetView workbookViewId="0">
      <selection activeCell="G27" sqref="G27"/>
    </sheetView>
  </sheetViews>
  <sheetFormatPr defaultRowHeight="14.5" x14ac:dyDescent="0.35"/>
  <cols>
    <col min="1" max="2" width="12.453125" bestFit="1" customWidth="1"/>
    <col min="3" max="3" width="18.54296875" bestFit="1" customWidth="1"/>
    <col min="7" max="7" width="13.36328125" customWidth="1"/>
    <col min="8" max="8" width="14.08984375" customWidth="1"/>
  </cols>
  <sheetData>
    <row r="3" spans="2:8" x14ac:dyDescent="0.35">
      <c r="B3" s="119" t="s">
        <v>484</v>
      </c>
      <c r="C3" s="119"/>
      <c r="D3" s="31"/>
      <c r="E3" s="31"/>
      <c r="F3" s="31"/>
      <c r="G3" s="119" t="s">
        <v>485</v>
      </c>
      <c r="H3" s="119"/>
    </row>
    <row r="4" spans="2:8" x14ac:dyDescent="0.35">
      <c r="B4" s="119"/>
      <c r="C4" s="119"/>
      <c r="D4" s="31"/>
      <c r="E4" s="31"/>
      <c r="F4" s="31"/>
      <c r="G4" s="119"/>
      <c r="H4" s="119"/>
    </row>
    <row r="5" spans="2:8" x14ac:dyDescent="0.35">
      <c r="B5" s="120">
        <f>SUM('Raw Data'!O5:O254)</f>
        <v>229192.47000000032</v>
      </c>
      <c r="C5" s="121"/>
      <c r="D5" s="31"/>
      <c r="E5" s="31"/>
      <c r="F5" s="31"/>
      <c r="G5" s="121">
        <f>COUNTA(Table2[Transaction_ID])</f>
        <v>250</v>
      </c>
      <c r="H5" s="121"/>
    </row>
    <row r="6" spans="2:8" x14ac:dyDescent="0.35">
      <c r="B6" s="31"/>
      <c r="C6" s="31"/>
      <c r="D6" s="31"/>
      <c r="E6" s="31"/>
      <c r="F6" s="31"/>
      <c r="G6" s="31"/>
      <c r="H6" s="31"/>
    </row>
    <row r="7" spans="2:8" x14ac:dyDescent="0.35">
      <c r="B7" s="31"/>
      <c r="C7" s="31"/>
      <c r="D7" s="31"/>
      <c r="E7" s="31"/>
      <c r="F7" s="31"/>
      <c r="G7" s="31"/>
      <c r="H7" s="31"/>
    </row>
    <row r="8" spans="2:8" x14ac:dyDescent="0.35">
      <c r="B8" s="31"/>
      <c r="C8" s="31"/>
      <c r="D8" s="31"/>
      <c r="E8" s="31"/>
      <c r="F8" s="31"/>
      <c r="G8" s="31"/>
      <c r="H8" s="31"/>
    </row>
    <row r="9" spans="2:8" ht="22.25" customHeight="1" x14ac:dyDescent="0.35">
      <c r="B9" s="119" t="s">
        <v>486</v>
      </c>
      <c r="C9" s="119"/>
      <c r="D9" s="31"/>
      <c r="E9" s="31"/>
      <c r="F9" s="31"/>
      <c r="G9" s="122" t="s">
        <v>510</v>
      </c>
      <c r="H9" s="122"/>
    </row>
    <row r="10" spans="2:8" x14ac:dyDescent="0.35">
      <c r="B10" s="119"/>
      <c r="C10" s="119"/>
      <c r="D10" s="31"/>
      <c r="E10" s="31"/>
      <c r="F10" s="31"/>
      <c r="G10" s="122"/>
      <c r="H10" s="122"/>
    </row>
    <row r="11" spans="2:8" x14ac:dyDescent="0.35">
      <c r="B11" s="121">
        <f>COUNTA(_xlfn.UNIQUE('Raw Data'!D5:D254))</f>
        <v>50</v>
      </c>
      <c r="C11" s="121"/>
      <c r="D11" s="31"/>
      <c r="E11" s="31"/>
      <c r="F11" s="31"/>
      <c r="G11" s="122"/>
      <c r="H11" s="122"/>
    </row>
    <row r="12" spans="2:8" x14ac:dyDescent="0.35">
      <c r="B12" s="31"/>
      <c r="C12" s="31"/>
      <c r="D12" s="31"/>
      <c r="E12" s="31"/>
      <c r="F12" s="31"/>
      <c r="G12" s="71" t="str">
        <f>_xlfn.XLOOKUP(MAX(Table2[Total_Amount]), Table2[Total_Amount], Table2[Customer_Name])</f>
        <v>Paul Baker</v>
      </c>
      <c r="H12" s="71">
        <f>MAX('Raw Data'!O5:O254)</f>
        <v>4499.95</v>
      </c>
    </row>
    <row r="26" spans="2:3" x14ac:dyDescent="0.35">
      <c r="B26" s="118"/>
      <c r="C26" s="118"/>
    </row>
    <row r="27" spans="2:3" x14ac:dyDescent="0.35">
      <c r="B27" s="118"/>
      <c r="C27" s="118"/>
    </row>
  </sheetData>
  <mergeCells count="8">
    <mergeCell ref="B26:C27"/>
    <mergeCell ref="B3:C4"/>
    <mergeCell ref="B5:C5"/>
    <mergeCell ref="G3:H4"/>
    <mergeCell ref="B11:C11"/>
    <mergeCell ref="G5:H5"/>
    <mergeCell ref="G9:H11"/>
    <mergeCell ref="B9: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289F1-9B72-43DB-93A1-BBFFAE78516B}">
  <dimension ref="B2:C100"/>
  <sheetViews>
    <sheetView topLeftCell="A5" zoomScale="55" zoomScaleNormal="55" workbookViewId="0"/>
  </sheetViews>
  <sheetFormatPr defaultRowHeight="14.5" x14ac:dyDescent="0.35"/>
  <cols>
    <col min="2" max="3" width="18.6328125" bestFit="1" customWidth="1"/>
  </cols>
  <sheetData>
    <row r="2" spans="2:3" x14ac:dyDescent="0.35">
      <c r="B2" s="123" t="s">
        <v>494</v>
      </c>
      <c r="C2" s="125"/>
    </row>
    <row r="3" spans="2:3" x14ac:dyDescent="0.35">
      <c r="B3" s="125"/>
      <c r="C3" s="125"/>
    </row>
    <row r="4" spans="2:3" x14ac:dyDescent="0.35">
      <c r="B4" s="76" t="s">
        <v>480</v>
      </c>
      <c r="C4" s="60" t="s">
        <v>483</v>
      </c>
    </row>
    <row r="5" spans="2:3" x14ac:dyDescent="0.35">
      <c r="B5" s="60" t="s">
        <v>59</v>
      </c>
      <c r="C5" s="78">
        <v>87</v>
      </c>
    </row>
    <row r="6" spans="2:3" x14ac:dyDescent="0.35">
      <c r="B6" s="60" t="s">
        <v>72</v>
      </c>
      <c r="C6" s="78">
        <v>102</v>
      </c>
    </row>
    <row r="7" spans="2:3" x14ac:dyDescent="0.35">
      <c r="B7" s="60" t="s">
        <v>142</v>
      </c>
      <c r="C7" s="78">
        <v>39</v>
      </c>
    </row>
    <row r="8" spans="2:3" x14ac:dyDescent="0.35">
      <c r="B8" s="60" t="s">
        <v>133</v>
      </c>
      <c r="C8" s="78">
        <v>78</v>
      </c>
    </row>
    <row r="9" spans="2:3" x14ac:dyDescent="0.35">
      <c r="B9" s="60" t="s">
        <v>80</v>
      </c>
      <c r="C9" s="78">
        <v>47</v>
      </c>
    </row>
    <row r="10" spans="2:3" x14ac:dyDescent="0.35">
      <c r="B10" s="60" t="s">
        <v>145</v>
      </c>
      <c r="C10" s="78">
        <v>89</v>
      </c>
    </row>
    <row r="11" spans="2:3" x14ac:dyDescent="0.35">
      <c r="B11" s="60" t="s">
        <v>89</v>
      </c>
      <c r="C11" s="78">
        <v>75</v>
      </c>
    </row>
    <row r="12" spans="2:3" x14ac:dyDescent="0.35">
      <c r="B12" s="60" t="s">
        <v>45</v>
      </c>
      <c r="C12" s="78">
        <v>88</v>
      </c>
    </row>
    <row r="13" spans="2:3" x14ac:dyDescent="0.35">
      <c r="B13" s="60" t="s">
        <v>154</v>
      </c>
      <c r="C13" s="78">
        <v>52</v>
      </c>
    </row>
    <row r="14" spans="2:3" x14ac:dyDescent="0.35">
      <c r="B14" s="60" t="s">
        <v>108</v>
      </c>
      <c r="C14" s="78">
        <v>96</v>
      </c>
    </row>
    <row r="15" spans="2:3" x14ac:dyDescent="0.35">
      <c r="B15" s="60" t="s">
        <v>481</v>
      </c>
      <c r="C15" s="78">
        <v>753</v>
      </c>
    </row>
    <row r="24" spans="2:3" x14ac:dyDescent="0.35">
      <c r="B24" s="126" t="s">
        <v>507</v>
      </c>
      <c r="C24" s="127"/>
    </row>
    <row r="25" spans="2:3" x14ac:dyDescent="0.35">
      <c r="B25" s="127"/>
      <c r="C25" s="127"/>
    </row>
    <row r="26" spans="2:3" x14ac:dyDescent="0.35">
      <c r="B26" s="76" t="s">
        <v>480</v>
      </c>
      <c r="C26" s="60" t="s">
        <v>482</v>
      </c>
    </row>
    <row r="27" spans="2:3" x14ac:dyDescent="0.35">
      <c r="B27" s="79" t="s">
        <v>60</v>
      </c>
      <c r="C27" s="80">
        <v>8338.7399999999961</v>
      </c>
    </row>
    <row r="28" spans="2:3" x14ac:dyDescent="0.35">
      <c r="B28" s="79" t="s">
        <v>46</v>
      </c>
      <c r="C28" s="80">
        <v>171756.05000000013</v>
      </c>
    </row>
    <row r="29" spans="2:3" x14ac:dyDescent="0.35">
      <c r="B29" s="79" t="s">
        <v>73</v>
      </c>
      <c r="C29" s="80">
        <v>49097.680000000015</v>
      </c>
    </row>
    <row r="30" spans="2:3" x14ac:dyDescent="0.35">
      <c r="B30" s="60" t="s">
        <v>481</v>
      </c>
      <c r="C30" s="77">
        <v>229192.47000000015</v>
      </c>
    </row>
    <row r="46" spans="2:3" x14ac:dyDescent="0.35">
      <c r="B46" s="126" t="s">
        <v>492</v>
      </c>
      <c r="C46" s="128"/>
    </row>
    <row r="47" spans="2:3" x14ac:dyDescent="0.35">
      <c r="B47" s="128"/>
      <c r="C47" s="128"/>
    </row>
    <row r="48" spans="2:3" x14ac:dyDescent="0.35">
      <c r="B48" s="76" t="s">
        <v>480</v>
      </c>
      <c r="C48" s="60" t="s">
        <v>482</v>
      </c>
    </row>
    <row r="49" spans="2:3" x14ac:dyDescent="0.35">
      <c r="B49" s="79" t="s">
        <v>495</v>
      </c>
      <c r="C49" s="80">
        <v>25799.15</v>
      </c>
    </row>
    <row r="50" spans="2:3" x14ac:dyDescent="0.35">
      <c r="B50" s="79" t="s">
        <v>496</v>
      </c>
      <c r="C50" s="80">
        <v>16069.379999999997</v>
      </c>
    </row>
    <row r="51" spans="2:3" x14ac:dyDescent="0.35">
      <c r="B51" s="79" t="s">
        <v>497</v>
      </c>
      <c r="C51" s="80">
        <v>19899.379999999997</v>
      </c>
    </row>
    <row r="52" spans="2:3" x14ac:dyDescent="0.35">
      <c r="B52" s="79" t="s">
        <v>498</v>
      </c>
      <c r="C52" s="80">
        <v>27899.160000000007</v>
      </c>
    </row>
    <row r="53" spans="2:3" x14ac:dyDescent="0.35">
      <c r="B53" s="79" t="s">
        <v>499</v>
      </c>
      <c r="C53" s="80">
        <v>17039.349999999999</v>
      </c>
    </row>
    <row r="54" spans="2:3" x14ac:dyDescent="0.35">
      <c r="B54" s="79" t="s">
        <v>500</v>
      </c>
      <c r="C54" s="80">
        <v>19299.45</v>
      </c>
    </row>
    <row r="55" spans="2:3" x14ac:dyDescent="0.35">
      <c r="B55" s="79" t="s">
        <v>501</v>
      </c>
      <c r="C55" s="80">
        <v>18479.399999999994</v>
      </c>
    </row>
    <row r="56" spans="2:3" x14ac:dyDescent="0.35">
      <c r="B56" s="79" t="s">
        <v>502</v>
      </c>
      <c r="C56" s="80">
        <v>15759.429999999997</v>
      </c>
    </row>
    <row r="57" spans="2:3" x14ac:dyDescent="0.35">
      <c r="B57" s="79" t="s">
        <v>503</v>
      </c>
      <c r="C57" s="80">
        <v>12989.509999999997</v>
      </c>
    </row>
    <row r="58" spans="2:3" x14ac:dyDescent="0.35">
      <c r="B58" s="79" t="s">
        <v>504</v>
      </c>
      <c r="C58" s="80">
        <v>20609.52</v>
      </c>
    </row>
    <row r="59" spans="2:3" x14ac:dyDescent="0.35">
      <c r="B59" s="79" t="s">
        <v>505</v>
      </c>
      <c r="C59" s="80">
        <v>12309.439999999999</v>
      </c>
    </row>
    <row r="60" spans="2:3" x14ac:dyDescent="0.35">
      <c r="B60" s="79" t="s">
        <v>506</v>
      </c>
      <c r="C60" s="80">
        <v>23039.3</v>
      </c>
    </row>
    <row r="61" spans="2:3" x14ac:dyDescent="0.35">
      <c r="B61" s="60" t="s">
        <v>481</v>
      </c>
      <c r="C61" s="77">
        <v>229192.47</v>
      </c>
    </row>
    <row r="70" spans="2:3" x14ac:dyDescent="0.35">
      <c r="B70" s="129" t="s">
        <v>484</v>
      </c>
      <c r="C70" s="124"/>
    </row>
    <row r="71" spans="2:3" x14ac:dyDescent="0.35">
      <c r="B71" s="124"/>
      <c r="C71" s="124"/>
    </row>
    <row r="72" spans="2:3" x14ac:dyDescent="0.35">
      <c r="B72" s="130">
        <f>SUM('Raw Data'!O5:O254)</f>
        <v>229192.47000000032</v>
      </c>
      <c r="C72" s="131"/>
    </row>
    <row r="78" spans="2:3" x14ac:dyDescent="0.35">
      <c r="B78" s="129" t="s">
        <v>508</v>
      </c>
      <c r="C78" s="129"/>
    </row>
    <row r="79" spans="2:3" x14ac:dyDescent="0.35">
      <c r="B79" s="129"/>
      <c r="C79" s="129"/>
    </row>
    <row r="80" spans="2:3" x14ac:dyDescent="0.35">
      <c r="B80" s="76" t="s">
        <v>480</v>
      </c>
      <c r="C80" s="60" t="s">
        <v>482</v>
      </c>
    </row>
    <row r="81" spans="2:3" x14ac:dyDescent="0.35">
      <c r="B81" s="79" t="s">
        <v>126</v>
      </c>
      <c r="C81" s="80">
        <v>9799.73</v>
      </c>
    </row>
    <row r="82" spans="2:3" x14ac:dyDescent="0.35">
      <c r="B82" s="79" t="s">
        <v>123</v>
      </c>
      <c r="C82" s="80">
        <v>10649.8</v>
      </c>
    </row>
    <row r="83" spans="2:3" x14ac:dyDescent="0.35">
      <c r="B83" s="79" t="s">
        <v>42</v>
      </c>
      <c r="C83" s="80">
        <v>8309.739999999998</v>
      </c>
    </row>
    <row r="84" spans="2:3" x14ac:dyDescent="0.35">
      <c r="B84" s="79" t="s">
        <v>113</v>
      </c>
      <c r="C84" s="80">
        <v>15659.65</v>
      </c>
    </row>
    <row r="85" spans="2:3" x14ac:dyDescent="0.35">
      <c r="B85" s="79" t="s">
        <v>150</v>
      </c>
      <c r="C85" s="80">
        <v>11919.769999999999</v>
      </c>
    </row>
    <row r="86" spans="2:3" x14ac:dyDescent="0.35">
      <c r="B86" s="60" t="s">
        <v>481</v>
      </c>
      <c r="C86" s="77">
        <v>56338.689999999995</v>
      </c>
    </row>
    <row r="92" spans="2:3" x14ac:dyDescent="0.35">
      <c r="B92" s="123" t="s">
        <v>509</v>
      </c>
      <c r="C92" s="124"/>
    </row>
    <row r="93" spans="2:3" x14ac:dyDescent="0.35">
      <c r="B93" s="124"/>
      <c r="C93" s="124"/>
    </row>
    <row r="94" spans="2:3" x14ac:dyDescent="0.35">
      <c r="B94" s="76" t="s">
        <v>480</v>
      </c>
      <c r="C94" s="60" t="s">
        <v>482</v>
      </c>
    </row>
    <row r="95" spans="2:3" x14ac:dyDescent="0.35">
      <c r="B95" s="79" t="s">
        <v>48</v>
      </c>
      <c r="C95" s="80">
        <v>41288.340000000018</v>
      </c>
    </row>
    <row r="96" spans="2:3" x14ac:dyDescent="0.35">
      <c r="B96" s="79" t="s">
        <v>90</v>
      </c>
      <c r="C96" s="80">
        <v>59288.389999999992</v>
      </c>
    </row>
    <row r="97" spans="2:3" x14ac:dyDescent="0.35">
      <c r="B97" s="79" t="s">
        <v>67</v>
      </c>
      <c r="C97" s="80">
        <v>50808.310000000012</v>
      </c>
    </row>
    <row r="98" spans="2:3" x14ac:dyDescent="0.35">
      <c r="B98" s="79" t="s">
        <v>62</v>
      </c>
      <c r="C98" s="80">
        <v>36398.750000000007</v>
      </c>
    </row>
    <row r="99" spans="2:3" x14ac:dyDescent="0.35">
      <c r="B99" s="79" t="s">
        <v>77</v>
      </c>
      <c r="C99" s="80">
        <v>41408.680000000015</v>
      </c>
    </row>
    <row r="100" spans="2:3" x14ac:dyDescent="0.35">
      <c r="B100" s="60" t="s">
        <v>481</v>
      </c>
      <c r="C100" s="77">
        <v>229192.47000000006</v>
      </c>
    </row>
  </sheetData>
  <mergeCells count="7">
    <mergeCell ref="B92:C93"/>
    <mergeCell ref="B2:C3"/>
    <mergeCell ref="B24:C25"/>
    <mergeCell ref="B46:C47"/>
    <mergeCell ref="B70:C71"/>
    <mergeCell ref="B72:C72"/>
    <mergeCell ref="B78:C79"/>
  </mergeCells>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A45FC-9C9F-4DCF-AADF-42CAAEFC943E}">
  <dimension ref="A1:AP61"/>
  <sheetViews>
    <sheetView showGridLines="0" tabSelected="1" zoomScale="68" zoomScaleNormal="55" workbookViewId="0">
      <selection activeCell="S9" sqref="S9"/>
    </sheetView>
  </sheetViews>
  <sheetFormatPr defaultRowHeight="14.5" x14ac:dyDescent="0.35"/>
  <cols>
    <col min="7" max="7" width="10" customWidth="1"/>
    <col min="12" max="12" width="9.90625" customWidth="1"/>
    <col min="13" max="13" width="11.54296875" customWidth="1"/>
  </cols>
  <sheetData>
    <row r="1" spans="1:42" x14ac:dyDescent="0.35">
      <c r="R1" s="81"/>
      <c r="S1" s="81"/>
      <c r="T1" s="81"/>
      <c r="U1" s="81"/>
      <c r="V1" s="81"/>
      <c r="W1" s="81"/>
      <c r="X1" s="81"/>
      <c r="Y1" s="81"/>
      <c r="Z1" s="81"/>
      <c r="AA1" s="81"/>
      <c r="AB1" s="81"/>
      <c r="AC1" s="81"/>
      <c r="AD1" s="81"/>
      <c r="AE1" s="81"/>
      <c r="AF1" s="81"/>
      <c r="AG1" s="81"/>
      <c r="AH1" s="81"/>
      <c r="AI1" s="81"/>
      <c r="AJ1" s="81"/>
      <c r="AK1" s="81"/>
      <c r="AL1" s="81"/>
      <c r="AM1" s="81"/>
      <c r="AN1" s="81"/>
      <c r="AO1" s="81"/>
      <c r="AP1" s="81"/>
    </row>
    <row r="2" spans="1:42" ht="14.4" customHeight="1" x14ac:dyDescent="0.35">
      <c r="A2" s="81"/>
      <c r="B2" s="138" t="s">
        <v>518</v>
      </c>
      <c r="C2" s="138"/>
      <c r="D2" s="138"/>
      <c r="E2" s="138"/>
      <c r="F2" s="138"/>
      <c r="G2" s="138"/>
      <c r="H2" s="138"/>
      <c r="I2" s="138"/>
      <c r="J2" s="138"/>
      <c r="K2" s="138"/>
      <c r="L2" s="138"/>
      <c r="M2" s="138"/>
      <c r="N2" s="138"/>
      <c r="O2" s="138"/>
      <c r="P2" s="138"/>
      <c r="Q2" s="81"/>
      <c r="R2" s="81"/>
      <c r="S2" s="81"/>
      <c r="T2" s="81"/>
      <c r="U2" s="81"/>
      <c r="V2" s="81"/>
      <c r="W2" s="81"/>
      <c r="X2" s="81"/>
      <c r="Y2" s="81"/>
      <c r="Z2" s="81"/>
      <c r="AA2" s="81"/>
      <c r="AB2" s="81"/>
      <c r="AC2" s="81"/>
      <c r="AD2" s="81"/>
      <c r="AE2" s="81"/>
      <c r="AF2" s="81"/>
      <c r="AG2" s="81"/>
      <c r="AH2" s="81"/>
      <c r="AI2" s="81"/>
      <c r="AJ2" s="81"/>
      <c r="AK2" s="81"/>
      <c r="AL2" s="81"/>
      <c r="AM2" s="81"/>
      <c r="AN2" s="81"/>
      <c r="AO2" s="81"/>
      <c r="AP2" s="81"/>
    </row>
    <row r="3" spans="1:42" ht="14.4" customHeight="1" x14ac:dyDescent="0.35">
      <c r="A3" s="81"/>
      <c r="B3" s="138"/>
      <c r="C3" s="138"/>
      <c r="D3" s="138"/>
      <c r="E3" s="138"/>
      <c r="F3" s="138"/>
      <c r="G3" s="138"/>
      <c r="H3" s="138"/>
      <c r="I3" s="138"/>
      <c r="J3" s="138"/>
      <c r="K3" s="138"/>
      <c r="L3" s="138"/>
      <c r="M3" s="138"/>
      <c r="N3" s="138"/>
      <c r="O3" s="138"/>
      <c r="P3" s="138"/>
      <c r="Q3" s="81"/>
      <c r="R3" s="81"/>
      <c r="S3" s="81"/>
      <c r="T3" s="81"/>
      <c r="U3" s="81"/>
      <c r="V3" s="81"/>
      <c r="W3" s="81"/>
      <c r="X3" s="81"/>
      <c r="Y3" s="81"/>
      <c r="Z3" s="81"/>
      <c r="AA3" s="81"/>
      <c r="AB3" s="81"/>
      <c r="AC3" s="81"/>
      <c r="AD3" s="81"/>
      <c r="AE3" s="81"/>
      <c r="AF3" s="81"/>
      <c r="AG3" s="81"/>
      <c r="AH3" s="81"/>
      <c r="AI3" s="81"/>
      <c r="AJ3" s="81"/>
      <c r="AK3" s="81"/>
      <c r="AL3" s="81"/>
      <c r="AM3" s="81"/>
      <c r="AN3" s="81"/>
      <c r="AO3" s="81"/>
      <c r="AP3" s="81"/>
    </row>
    <row r="4" spans="1:42" ht="14.4" customHeight="1" x14ac:dyDescent="0.35">
      <c r="A4" s="81"/>
      <c r="B4" s="138"/>
      <c r="C4" s="138"/>
      <c r="D4" s="138"/>
      <c r="E4" s="138"/>
      <c r="F4" s="138"/>
      <c r="G4" s="138"/>
      <c r="H4" s="138"/>
      <c r="I4" s="138"/>
      <c r="J4" s="138"/>
      <c r="K4" s="138"/>
      <c r="L4" s="138"/>
      <c r="M4" s="138"/>
      <c r="N4" s="138"/>
      <c r="O4" s="138"/>
      <c r="P4" s="138"/>
      <c r="Q4" s="81"/>
      <c r="R4" s="81"/>
      <c r="S4" s="81"/>
      <c r="T4" s="81"/>
      <c r="U4" s="81"/>
      <c r="V4" s="81"/>
      <c r="W4" s="81"/>
      <c r="X4" s="81"/>
      <c r="Y4" s="81"/>
      <c r="Z4" s="81"/>
      <c r="AA4" s="81"/>
      <c r="AB4" s="81"/>
      <c r="AC4" s="81"/>
      <c r="AD4" s="81"/>
      <c r="AE4" s="81"/>
      <c r="AF4" s="81"/>
      <c r="AG4" s="81"/>
      <c r="AH4" s="81"/>
      <c r="AI4" s="81"/>
      <c r="AJ4" s="81"/>
      <c r="AK4" s="81"/>
      <c r="AL4" s="81"/>
      <c r="AM4" s="81"/>
      <c r="AN4" s="81"/>
      <c r="AO4" s="81"/>
      <c r="AP4" s="81"/>
    </row>
    <row r="5" spans="1:42" x14ac:dyDescent="0.35">
      <c r="A5" s="81"/>
      <c r="B5" s="82"/>
      <c r="C5" s="83"/>
      <c r="D5" s="83"/>
      <c r="E5" s="83"/>
      <c r="F5" s="83"/>
      <c r="G5" s="83"/>
      <c r="H5" s="83"/>
      <c r="I5" s="83"/>
      <c r="J5" s="83"/>
      <c r="K5" s="83"/>
      <c r="L5" s="83"/>
      <c r="M5" s="83"/>
      <c r="N5" s="83"/>
      <c r="O5" s="83"/>
      <c r="P5" s="84"/>
      <c r="Q5" s="81"/>
      <c r="R5" s="81"/>
      <c r="S5" s="81"/>
      <c r="T5" s="81"/>
      <c r="U5" s="81"/>
      <c r="V5" s="81"/>
      <c r="W5" s="81"/>
      <c r="X5" s="81"/>
      <c r="Y5" s="81"/>
      <c r="Z5" s="81"/>
      <c r="AA5" s="81"/>
      <c r="AB5" s="81"/>
      <c r="AC5" s="81"/>
      <c r="AD5" s="81"/>
      <c r="AE5" s="81"/>
      <c r="AF5" s="81"/>
      <c r="AG5" s="81"/>
      <c r="AH5" s="81"/>
      <c r="AI5" s="81"/>
      <c r="AJ5" s="81"/>
      <c r="AK5" s="81"/>
      <c r="AL5" s="81"/>
      <c r="AM5" s="81"/>
      <c r="AN5" s="81"/>
      <c r="AO5" s="81"/>
      <c r="AP5" s="81"/>
    </row>
    <row r="6" spans="1:42" x14ac:dyDescent="0.35">
      <c r="A6" s="81"/>
      <c r="E6" s="83"/>
      <c r="F6" s="139" t="s">
        <v>484</v>
      </c>
      <c r="G6" s="139"/>
      <c r="H6" s="83"/>
      <c r="I6" s="139" t="s">
        <v>485</v>
      </c>
      <c r="J6" s="139"/>
      <c r="K6" s="83"/>
      <c r="L6" s="139" t="s">
        <v>486</v>
      </c>
      <c r="M6" s="139"/>
      <c r="N6" s="83"/>
      <c r="O6" s="133" t="s">
        <v>517</v>
      </c>
      <c r="P6" s="134"/>
      <c r="Q6" s="81"/>
      <c r="R6" s="81"/>
      <c r="S6" s="81"/>
      <c r="T6" s="81"/>
      <c r="U6" s="81"/>
      <c r="V6" s="81"/>
      <c r="W6" s="81"/>
      <c r="X6" s="81"/>
      <c r="Y6" s="81"/>
      <c r="Z6" s="81"/>
      <c r="AA6" s="81"/>
      <c r="AB6" s="81"/>
      <c r="AC6" s="81"/>
      <c r="AD6" s="81"/>
      <c r="AE6" s="81"/>
      <c r="AF6" s="81"/>
      <c r="AG6" s="81"/>
      <c r="AH6" s="81"/>
      <c r="AI6" s="81"/>
      <c r="AJ6" s="81"/>
      <c r="AK6" s="81"/>
      <c r="AL6" s="81"/>
      <c r="AM6" s="81"/>
      <c r="AN6" s="81"/>
      <c r="AO6" s="81"/>
      <c r="AP6" s="81"/>
    </row>
    <row r="7" spans="1:42" x14ac:dyDescent="0.35">
      <c r="A7" s="81"/>
      <c r="E7" s="83"/>
      <c r="F7" s="120">
        <f>SUM('Raw Data'!O7:O256)</f>
        <v>227692.53000000029</v>
      </c>
      <c r="G7" s="120"/>
      <c r="H7" s="83"/>
      <c r="I7" s="121">
        <f>COUNTA(Table2[Transaction_ID])</f>
        <v>250</v>
      </c>
      <c r="J7" s="121"/>
      <c r="K7" s="83"/>
      <c r="L7" s="121">
        <f>COUNTA(_xlfn.UNIQUE('Raw Data'!D5:D254))</f>
        <v>50</v>
      </c>
      <c r="M7" s="121"/>
      <c r="N7" s="83"/>
      <c r="O7" s="135">
        <f>SUM('Raw Data'!O5:O254) / COUNTA('Raw Data'!D5:D254)</f>
        <v>916.76988000000131</v>
      </c>
      <c r="P7" s="136"/>
      <c r="Q7" s="81"/>
      <c r="R7" s="81"/>
      <c r="S7" s="81"/>
      <c r="T7" s="81"/>
      <c r="U7" s="81"/>
      <c r="V7" s="81"/>
      <c r="W7" s="81"/>
      <c r="X7" s="81"/>
      <c r="Y7" s="81"/>
      <c r="Z7" s="81"/>
      <c r="AA7" s="81"/>
      <c r="AB7" s="81"/>
      <c r="AC7" s="81"/>
      <c r="AD7" s="81"/>
      <c r="AE7" s="81"/>
      <c r="AF7" s="81"/>
      <c r="AG7" s="81"/>
      <c r="AH7" s="81"/>
      <c r="AI7" s="81"/>
      <c r="AJ7" s="81"/>
      <c r="AK7" s="81"/>
      <c r="AL7" s="81"/>
      <c r="AM7" s="81"/>
      <c r="AN7" s="81"/>
      <c r="AO7" s="81"/>
      <c r="AP7" s="81"/>
    </row>
    <row r="8" spans="1:42" x14ac:dyDescent="0.35">
      <c r="A8" s="81"/>
      <c r="E8" s="83"/>
      <c r="F8" s="83"/>
      <c r="G8" s="83"/>
      <c r="H8" s="83"/>
      <c r="I8" s="83"/>
      <c r="J8" s="83"/>
      <c r="K8" s="83"/>
      <c r="L8" s="83"/>
      <c r="M8" s="83"/>
      <c r="N8" s="83"/>
      <c r="O8" s="83"/>
      <c r="P8" s="85"/>
      <c r="Q8" s="81"/>
      <c r="R8" s="81"/>
      <c r="S8" s="81"/>
      <c r="T8" s="81"/>
      <c r="U8" s="81"/>
      <c r="V8" s="81"/>
      <c r="W8" s="81"/>
      <c r="X8" s="81"/>
      <c r="Y8" s="81"/>
      <c r="Z8" s="81"/>
      <c r="AA8" s="81"/>
      <c r="AB8" s="81"/>
      <c r="AC8" s="81"/>
      <c r="AD8" s="81"/>
      <c r="AE8" s="81"/>
      <c r="AF8" s="81"/>
      <c r="AG8" s="81"/>
      <c r="AH8" s="81"/>
      <c r="AI8" s="81"/>
      <c r="AJ8" s="81"/>
      <c r="AK8" s="81"/>
      <c r="AL8" s="81"/>
      <c r="AM8" s="81"/>
      <c r="AN8" s="81"/>
      <c r="AO8" s="81"/>
      <c r="AP8" s="81"/>
    </row>
    <row r="9" spans="1:42" x14ac:dyDescent="0.35">
      <c r="A9" s="81"/>
      <c r="E9" s="83"/>
      <c r="F9" s="83"/>
      <c r="G9" s="83"/>
      <c r="H9" s="83"/>
      <c r="I9" s="83"/>
      <c r="J9" s="83"/>
      <c r="K9" s="83"/>
      <c r="L9" s="83"/>
      <c r="M9" s="83"/>
      <c r="N9" s="83"/>
      <c r="O9" s="83"/>
      <c r="P9" s="84"/>
      <c r="Q9" s="81"/>
      <c r="R9" s="81"/>
      <c r="S9" s="81"/>
      <c r="T9" s="81"/>
      <c r="U9" s="81"/>
      <c r="V9" s="81"/>
      <c r="W9" s="81"/>
      <c r="X9" s="81"/>
      <c r="Y9" s="81"/>
      <c r="Z9" s="81"/>
      <c r="AA9" s="81"/>
      <c r="AB9" s="81"/>
      <c r="AC9" s="81"/>
      <c r="AD9" s="81"/>
      <c r="AE9" s="81"/>
      <c r="AF9" s="81"/>
      <c r="AG9" s="81"/>
      <c r="AH9" s="81"/>
      <c r="AI9" s="81"/>
      <c r="AJ9" s="81"/>
      <c r="AK9" s="81"/>
      <c r="AL9" s="81"/>
      <c r="AM9" s="81"/>
      <c r="AN9" s="81"/>
      <c r="AO9" s="81"/>
      <c r="AP9" s="81"/>
    </row>
    <row r="10" spans="1:42" x14ac:dyDescent="0.35">
      <c r="A10" s="81"/>
      <c r="E10" s="83"/>
      <c r="Q10" s="81"/>
      <c r="R10" s="81"/>
      <c r="S10" s="81"/>
      <c r="T10" s="81"/>
      <c r="U10" s="81"/>
      <c r="V10" s="81"/>
      <c r="W10" s="81"/>
      <c r="X10" s="81"/>
      <c r="Y10" s="81"/>
      <c r="Z10" s="81"/>
      <c r="AA10" s="81"/>
      <c r="AB10" s="81"/>
      <c r="AC10" s="81"/>
      <c r="AD10" s="81"/>
      <c r="AE10" s="81"/>
      <c r="AF10" s="81"/>
      <c r="AG10" s="81"/>
      <c r="AH10" s="81"/>
      <c r="AI10" s="81"/>
      <c r="AJ10" s="81"/>
      <c r="AK10" s="81"/>
      <c r="AL10" s="81"/>
      <c r="AM10" s="81"/>
      <c r="AN10" s="81"/>
      <c r="AO10" s="81"/>
      <c r="AP10" s="81"/>
    </row>
    <row r="11" spans="1:42" x14ac:dyDescent="0.35">
      <c r="A11" s="81"/>
      <c r="E11" s="83"/>
      <c r="Q11" s="81"/>
      <c r="R11" s="81"/>
      <c r="S11" s="81"/>
      <c r="T11" s="81"/>
      <c r="U11" s="81"/>
      <c r="V11" s="81"/>
      <c r="W11" s="81"/>
      <c r="X11" s="81"/>
      <c r="Y11" s="81"/>
      <c r="Z11" s="81"/>
      <c r="AA11" s="81"/>
      <c r="AB11" s="81"/>
      <c r="AC11" s="81"/>
      <c r="AD11" s="81"/>
      <c r="AE11" s="81"/>
      <c r="AF11" s="81"/>
      <c r="AG11" s="81"/>
      <c r="AH11" s="81"/>
      <c r="AI11" s="81"/>
      <c r="AJ11" s="81"/>
      <c r="AK11" s="81"/>
      <c r="AL11" s="81"/>
      <c r="AM11" s="81"/>
      <c r="AN11" s="81"/>
      <c r="AO11" s="81"/>
      <c r="AP11" s="81"/>
    </row>
    <row r="12" spans="1:42" x14ac:dyDescent="0.35">
      <c r="A12" s="81"/>
      <c r="E12" s="83"/>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row>
    <row r="13" spans="1:42" x14ac:dyDescent="0.35">
      <c r="A13" s="81"/>
      <c r="E13" s="83"/>
      <c r="Q13" s="81"/>
      <c r="R13" s="81"/>
      <c r="S13" s="81"/>
      <c r="T13" s="81"/>
      <c r="U13" s="81"/>
      <c r="V13" s="81"/>
      <c r="W13" s="81"/>
      <c r="X13" s="81"/>
      <c r="Y13" s="81"/>
      <c r="Z13" s="81"/>
      <c r="AA13" s="81"/>
      <c r="AB13" s="81"/>
      <c r="AC13" s="81"/>
      <c r="AD13" s="81"/>
      <c r="AE13" s="81"/>
      <c r="AF13" s="81"/>
      <c r="AG13" s="81"/>
      <c r="AH13" s="81"/>
      <c r="AI13" s="81"/>
      <c r="AJ13" s="81"/>
      <c r="AK13" s="81"/>
      <c r="AL13" s="81"/>
      <c r="AM13" s="81"/>
      <c r="AN13" s="81"/>
      <c r="AO13" s="81"/>
      <c r="AP13" s="81"/>
    </row>
    <row r="14" spans="1:42" x14ac:dyDescent="0.35">
      <c r="A14" s="81"/>
      <c r="E14" s="83"/>
      <c r="Q14" s="81"/>
      <c r="R14" s="81"/>
      <c r="S14" s="81"/>
      <c r="T14" s="81"/>
      <c r="U14" s="81"/>
      <c r="V14" s="81"/>
      <c r="W14" s="81"/>
      <c r="X14" s="81"/>
      <c r="Y14" s="81"/>
      <c r="Z14" s="81"/>
      <c r="AA14" s="81"/>
      <c r="AB14" s="81"/>
      <c r="AC14" s="81"/>
      <c r="AD14" s="81"/>
      <c r="AE14" s="81"/>
      <c r="AF14" s="81"/>
      <c r="AG14" s="81"/>
      <c r="AH14" s="81"/>
      <c r="AI14" s="81"/>
      <c r="AJ14" s="81"/>
      <c r="AK14" s="81"/>
      <c r="AL14" s="81"/>
      <c r="AM14" s="81"/>
      <c r="AN14" s="81"/>
      <c r="AO14" s="81"/>
      <c r="AP14" s="81"/>
    </row>
    <row r="15" spans="1:42" x14ac:dyDescent="0.35">
      <c r="A15" s="81"/>
      <c r="E15" s="83"/>
      <c r="Q15" s="81"/>
      <c r="R15" s="81"/>
      <c r="S15" s="81"/>
      <c r="T15" s="81"/>
      <c r="U15" s="81"/>
      <c r="V15" s="81"/>
      <c r="W15" s="81"/>
      <c r="X15" s="81"/>
      <c r="Y15" s="81"/>
      <c r="Z15" s="81"/>
      <c r="AA15" s="81"/>
      <c r="AB15" s="81"/>
      <c r="AC15" s="81"/>
      <c r="AD15" s="81"/>
      <c r="AE15" s="81"/>
      <c r="AF15" s="81"/>
      <c r="AG15" s="81"/>
      <c r="AH15" s="81"/>
      <c r="AI15" s="81"/>
      <c r="AJ15" s="81"/>
      <c r="AK15" s="81"/>
      <c r="AL15" s="81"/>
      <c r="AM15" s="81"/>
      <c r="AN15" s="81"/>
      <c r="AO15" s="81"/>
      <c r="AP15" s="81"/>
    </row>
    <row r="16" spans="1:42" x14ac:dyDescent="0.35">
      <c r="A16" s="81"/>
      <c r="E16" s="83"/>
      <c r="Q16" s="81"/>
      <c r="R16" s="81"/>
      <c r="S16" s="81"/>
      <c r="T16" s="81"/>
      <c r="U16" s="81"/>
      <c r="V16" s="81"/>
      <c r="W16" s="81"/>
      <c r="X16" s="81"/>
      <c r="Y16" s="81"/>
      <c r="Z16" s="81"/>
      <c r="AA16" s="81"/>
      <c r="AB16" s="81"/>
      <c r="AC16" s="81"/>
      <c r="AD16" s="81"/>
      <c r="AE16" s="81"/>
      <c r="AF16" s="81"/>
      <c r="AG16" s="81"/>
      <c r="AH16" s="81"/>
      <c r="AI16" s="81"/>
      <c r="AJ16" s="81"/>
      <c r="AK16" s="81"/>
      <c r="AL16" s="81"/>
      <c r="AM16" s="81"/>
      <c r="AN16" s="81"/>
      <c r="AO16" s="81"/>
      <c r="AP16" s="81"/>
    </row>
    <row r="17" spans="1:42" x14ac:dyDescent="0.35">
      <c r="A17" s="81"/>
      <c r="E17" s="83"/>
      <c r="Q17" s="81"/>
      <c r="R17" s="81"/>
      <c r="S17" s="81"/>
      <c r="T17" s="81"/>
      <c r="U17" s="81"/>
      <c r="V17" s="81"/>
      <c r="W17" s="81"/>
      <c r="X17" s="81"/>
      <c r="Y17" s="81"/>
      <c r="Z17" s="81"/>
      <c r="AA17" s="81"/>
      <c r="AB17" s="81"/>
      <c r="AC17" s="81"/>
      <c r="AD17" s="81"/>
      <c r="AE17" s="89"/>
      <c r="AF17" s="81"/>
      <c r="AG17" s="81"/>
      <c r="AH17" s="81"/>
      <c r="AI17" s="81"/>
      <c r="AJ17" s="81"/>
      <c r="AK17" s="81"/>
      <c r="AL17" s="81"/>
      <c r="AM17" s="81"/>
      <c r="AN17" s="81"/>
      <c r="AO17" s="81"/>
      <c r="AP17" s="81"/>
    </row>
    <row r="18" spans="1:42" x14ac:dyDescent="0.35">
      <c r="A18" s="81"/>
      <c r="B18" s="82"/>
      <c r="C18" s="83"/>
      <c r="D18" s="83"/>
      <c r="E18" s="83"/>
      <c r="F18" s="83"/>
      <c r="G18" s="83"/>
      <c r="H18" s="83"/>
      <c r="I18" s="83"/>
      <c r="J18" s="83"/>
      <c r="K18" s="83"/>
      <c r="L18" s="83"/>
      <c r="M18" s="83"/>
      <c r="N18" s="83"/>
      <c r="O18" s="83"/>
      <c r="P18" s="84"/>
      <c r="Q18" s="81"/>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row>
    <row r="19" spans="1:42" x14ac:dyDescent="0.35">
      <c r="A19" s="81"/>
      <c r="I19" s="83"/>
      <c r="Q19" s="81"/>
      <c r="R19" s="81"/>
      <c r="S19" s="81"/>
      <c r="T19" s="81"/>
      <c r="U19" s="81"/>
      <c r="V19" s="81"/>
      <c r="W19" s="81"/>
      <c r="X19" s="81"/>
      <c r="Y19" s="81"/>
      <c r="Z19" s="81"/>
      <c r="AA19" s="81"/>
      <c r="AB19" s="81"/>
      <c r="AC19" s="81"/>
      <c r="AD19" s="81"/>
      <c r="AE19" s="81"/>
      <c r="AF19" s="81"/>
      <c r="AG19" s="81"/>
      <c r="AH19" s="81"/>
      <c r="AI19" s="81"/>
      <c r="AJ19" s="81"/>
      <c r="AK19" s="81"/>
      <c r="AL19" s="81"/>
      <c r="AM19" s="81"/>
      <c r="AN19" s="81"/>
      <c r="AO19" s="81"/>
      <c r="AP19" s="81"/>
    </row>
    <row r="20" spans="1:42" x14ac:dyDescent="0.35">
      <c r="A20" s="81"/>
      <c r="I20" s="83"/>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c r="AP20" s="81"/>
    </row>
    <row r="21" spans="1:42" x14ac:dyDescent="0.35">
      <c r="A21" s="81"/>
      <c r="I21" s="83"/>
      <c r="Q21" s="81"/>
      <c r="R21" s="81"/>
      <c r="S21" s="81"/>
      <c r="T21" s="81"/>
      <c r="U21" s="81"/>
      <c r="V21" s="81"/>
      <c r="W21" s="81"/>
      <c r="X21" s="81"/>
      <c r="Y21" s="81"/>
      <c r="Z21" s="81"/>
      <c r="AA21" s="81"/>
      <c r="AB21" s="81"/>
      <c r="AC21" s="81"/>
      <c r="AD21" s="81"/>
      <c r="AE21" s="81"/>
      <c r="AF21" s="81"/>
      <c r="AG21" s="81"/>
      <c r="AH21" s="81"/>
      <c r="AI21" s="81"/>
      <c r="AJ21" s="81"/>
      <c r="AK21" s="81"/>
      <c r="AL21" s="81"/>
      <c r="AM21" s="81"/>
      <c r="AN21" s="81"/>
      <c r="AO21" s="81"/>
      <c r="AP21" s="81"/>
    </row>
    <row r="22" spans="1:42" x14ac:dyDescent="0.35">
      <c r="A22" s="81"/>
      <c r="I22" s="83"/>
      <c r="Q22" s="81"/>
      <c r="R22" s="81"/>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row>
    <row r="23" spans="1:42" x14ac:dyDescent="0.35">
      <c r="A23" s="81"/>
      <c r="I23" s="83"/>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row>
    <row r="24" spans="1:42" x14ac:dyDescent="0.35">
      <c r="A24" s="81"/>
      <c r="I24" s="83"/>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row>
    <row r="25" spans="1:42" x14ac:dyDescent="0.35">
      <c r="A25" s="81"/>
      <c r="I25" s="83"/>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row>
    <row r="26" spans="1:42" x14ac:dyDescent="0.35">
      <c r="A26" s="81"/>
      <c r="I26" s="83"/>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row>
    <row r="27" spans="1:42" x14ac:dyDescent="0.35">
      <c r="A27" s="81"/>
      <c r="I27" s="83"/>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row>
    <row r="28" spans="1:42" x14ac:dyDescent="0.35">
      <c r="A28" s="81"/>
      <c r="I28" s="83"/>
      <c r="Q28" s="81"/>
      <c r="R28" s="81"/>
      <c r="S28" s="81"/>
      <c r="T28" s="81"/>
      <c r="U28" s="81"/>
      <c r="V28" s="81"/>
      <c r="W28" s="81"/>
      <c r="X28" s="81"/>
      <c r="Y28" s="81"/>
      <c r="Z28" s="81"/>
      <c r="AA28" s="81"/>
      <c r="AB28" s="81"/>
      <c r="AC28" s="81"/>
      <c r="AD28" s="81"/>
      <c r="AE28" s="81"/>
      <c r="AF28" s="81"/>
      <c r="AG28" s="81"/>
      <c r="AH28" s="81"/>
      <c r="AI28" s="81"/>
      <c r="AJ28" s="81"/>
      <c r="AK28" s="81"/>
      <c r="AL28" s="81"/>
      <c r="AM28" s="81"/>
      <c r="AN28" s="81"/>
      <c r="AO28" s="81"/>
      <c r="AP28" s="81"/>
    </row>
    <row r="29" spans="1:42" x14ac:dyDescent="0.35">
      <c r="A29" s="81"/>
      <c r="I29" s="83"/>
      <c r="Q29" s="81"/>
      <c r="R29" s="81"/>
      <c r="S29" s="81"/>
      <c r="T29" s="81"/>
      <c r="U29" s="81"/>
      <c r="V29" s="81"/>
      <c r="W29" s="81"/>
      <c r="X29" s="81"/>
      <c r="Y29" s="81"/>
      <c r="Z29" s="81"/>
      <c r="AA29" s="81"/>
      <c r="AB29" s="81"/>
      <c r="AC29" s="81"/>
      <c r="AD29" s="81"/>
      <c r="AE29" s="81"/>
      <c r="AF29" s="81"/>
      <c r="AG29" s="81"/>
      <c r="AH29" s="81"/>
      <c r="AI29" s="81"/>
      <c r="AJ29" s="81"/>
      <c r="AK29" s="81"/>
      <c r="AL29" s="81"/>
      <c r="AM29" s="81"/>
      <c r="AN29" s="81"/>
      <c r="AO29" s="81"/>
      <c r="AP29" s="81"/>
    </row>
    <row r="30" spans="1:42" x14ac:dyDescent="0.35">
      <c r="A30" s="81"/>
      <c r="I30" s="83"/>
      <c r="Q30" s="81"/>
      <c r="R30" s="81"/>
      <c r="S30" s="81"/>
      <c r="T30" s="81"/>
      <c r="U30" s="81"/>
      <c r="V30" s="81"/>
      <c r="W30" s="81"/>
      <c r="X30" s="81"/>
      <c r="Y30" s="81"/>
      <c r="Z30" s="81"/>
      <c r="AA30" s="81"/>
      <c r="AB30" s="81"/>
      <c r="AC30" s="81"/>
      <c r="AD30" s="81"/>
      <c r="AE30" s="81"/>
      <c r="AF30" s="81"/>
      <c r="AG30" s="81"/>
      <c r="AH30" s="81"/>
      <c r="AI30" s="81"/>
      <c r="AJ30" s="81"/>
      <c r="AK30" s="81"/>
      <c r="AL30" s="81"/>
      <c r="AM30" s="81"/>
      <c r="AN30" s="81"/>
      <c r="AO30" s="81"/>
      <c r="AP30" s="81"/>
    </row>
    <row r="31" spans="1:42" x14ac:dyDescent="0.35">
      <c r="A31" s="81"/>
      <c r="I31" s="83"/>
      <c r="Q31" s="81"/>
      <c r="R31" s="81"/>
      <c r="S31" s="81"/>
      <c r="T31" s="81"/>
      <c r="U31" s="81"/>
      <c r="V31" s="81"/>
      <c r="W31" s="81"/>
      <c r="X31" s="81"/>
      <c r="Y31" s="81"/>
      <c r="Z31" s="81"/>
      <c r="AA31" s="81"/>
      <c r="AB31" s="81"/>
      <c r="AC31" s="81"/>
      <c r="AD31" s="81"/>
      <c r="AE31" s="81"/>
      <c r="AF31" s="81"/>
      <c r="AG31" s="81"/>
      <c r="AH31" s="81"/>
      <c r="AI31" s="81"/>
      <c r="AJ31" s="81"/>
      <c r="AK31" s="81"/>
      <c r="AL31" s="81"/>
      <c r="AM31" s="81"/>
      <c r="AN31" s="81"/>
      <c r="AO31" s="81"/>
      <c r="AP31" s="81"/>
    </row>
    <row r="32" spans="1:42" x14ac:dyDescent="0.35">
      <c r="A32" s="81"/>
      <c r="I32" s="83"/>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row>
    <row r="33" spans="1:42" x14ac:dyDescent="0.35">
      <c r="A33" s="81"/>
      <c r="I33" s="83"/>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row>
    <row r="34" spans="1:42" x14ac:dyDescent="0.35">
      <c r="A34" s="81"/>
      <c r="I34" s="83"/>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row>
    <row r="35" spans="1:42" x14ac:dyDescent="0.35">
      <c r="A35" s="81"/>
      <c r="I35" s="83"/>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row>
    <row r="36" spans="1:42" x14ac:dyDescent="0.35">
      <c r="A36" s="81"/>
      <c r="B36" s="86"/>
      <c r="C36" s="83"/>
      <c r="D36" s="83"/>
      <c r="E36" s="83"/>
      <c r="F36" s="83"/>
      <c r="G36" s="83"/>
      <c r="H36" s="83"/>
      <c r="I36" s="83"/>
      <c r="J36" s="83"/>
      <c r="K36" s="83"/>
      <c r="L36" s="83"/>
      <c r="M36" s="83"/>
      <c r="N36" s="83"/>
      <c r="O36" s="83"/>
      <c r="P36" s="87"/>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row>
    <row r="37" spans="1:42" x14ac:dyDescent="0.35">
      <c r="A37" s="81"/>
      <c r="B37" s="132" t="s">
        <v>511</v>
      </c>
      <c r="C37" s="132"/>
      <c r="D37" s="132"/>
      <c r="E37" s="132"/>
      <c r="F37" s="132"/>
      <c r="G37" s="132"/>
      <c r="H37" s="132"/>
      <c r="I37" s="83"/>
      <c r="J37" s="132" t="s">
        <v>512</v>
      </c>
      <c r="K37" s="132"/>
      <c r="L37" s="132"/>
      <c r="M37" s="132"/>
      <c r="N37" s="132"/>
      <c r="O37" s="132"/>
      <c r="P37" s="132"/>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row>
    <row r="38" spans="1:42" x14ac:dyDescent="0.35">
      <c r="A38" s="81"/>
      <c r="B38" s="137" t="s">
        <v>514</v>
      </c>
      <c r="C38" s="137"/>
      <c r="D38" s="137"/>
      <c r="E38" s="137"/>
      <c r="F38" s="137"/>
      <c r="G38" s="137"/>
      <c r="H38" s="137"/>
      <c r="I38" s="83"/>
      <c r="J38" s="132" t="s">
        <v>513</v>
      </c>
      <c r="K38" s="132"/>
      <c r="L38" s="132"/>
      <c r="M38" s="132"/>
      <c r="N38" s="132"/>
      <c r="O38" s="132"/>
      <c r="P38" s="132"/>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row>
    <row r="39" spans="1:42" x14ac:dyDescent="0.35">
      <c r="A39" s="81"/>
      <c r="B39" s="88"/>
      <c r="C39" s="83"/>
      <c r="D39" s="83"/>
      <c r="E39" s="83"/>
      <c r="F39" s="83"/>
      <c r="G39" s="83"/>
      <c r="H39" s="83"/>
      <c r="I39" s="83"/>
      <c r="J39" s="83"/>
      <c r="K39" s="83"/>
      <c r="L39" s="83"/>
      <c r="M39" s="83"/>
      <c r="N39" s="83"/>
      <c r="O39" s="83"/>
      <c r="P39" s="85"/>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row>
    <row r="40" spans="1:42" x14ac:dyDescent="0.35">
      <c r="A40" s="81"/>
      <c r="B40" s="82"/>
      <c r="C40" s="83"/>
      <c r="D40" s="83"/>
      <c r="E40" s="83"/>
      <c r="F40" s="83"/>
      <c r="G40" s="83"/>
      <c r="H40" s="83"/>
      <c r="I40" s="83"/>
      <c r="J40" s="83"/>
      <c r="K40" s="83"/>
      <c r="L40" s="83"/>
      <c r="M40" s="83"/>
      <c r="N40" s="83"/>
      <c r="O40" s="83"/>
      <c r="P40" s="84"/>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row>
    <row r="41" spans="1:42" x14ac:dyDescent="0.35">
      <c r="A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row>
    <row r="42" spans="1:42" x14ac:dyDescent="0.35">
      <c r="A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row>
    <row r="43" spans="1:42" x14ac:dyDescent="0.35">
      <c r="A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row>
    <row r="44" spans="1:42" x14ac:dyDescent="0.35">
      <c r="A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row>
    <row r="45" spans="1:42" x14ac:dyDescent="0.35">
      <c r="A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row>
    <row r="46" spans="1:42" x14ac:dyDescent="0.35">
      <c r="A46" s="81"/>
      <c r="Q46" s="81"/>
      <c r="R46" s="81"/>
      <c r="S46" s="81"/>
      <c r="T46" s="81"/>
      <c r="U46" s="81"/>
      <c r="V46" s="81"/>
      <c r="W46" s="81"/>
      <c r="X46" s="81"/>
      <c r="Y46" s="81"/>
      <c r="Z46" s="81"/>
      <c r="AA46" s="81"/>
      <c r="AB46" s="81"/>
      <c r="AC46" s="81"/>
      <c r="AD46" s="81"/>
      <c r="AE46" s="81"/>
      <c r="AF46" s="81"/>
      <c r="AG46" s="81"/>
      <c r="AH46" s="81"/>
      <c r="AI46" s="81"/>
      <c r="AJ46" s="81"/>
      <c r="AK46" s="81"/>
      <c r="AL46" s="81"/>
      <c r="AM46" s="81"/>
      <c r="AN46" s="81"/>
      <c r="AO46" s="81"/>
      <c r="AP46" s="81"/>
    </row>
    <row r="47" spans="1:42" x14ac:dyDescent="0.35">
      <c r="A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row>
    <row r="48" spans="1:42" x14ac:dyDescent="0.35">
      <c r="A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row>
    <row r="49" spans="1:42" x14ac:dyDescent="0.35">
      <c r="A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row>
    <row r="50" spans="1:42" x14ac:dyDescent="0.35">
      <c r="A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row>
    <row r="51" spans="1:42" x14ac:dyDescent="0.35">
      <c r="A51" s="81"/>
      <c r="Q51" s="81"/>
    </row>
    <row r="52" spans="1:42" x14ac:dyDescent="0.35">
      <c r="A52" s="81"/>
      <c r="Q52" s="81"/>
    </row>
    <row r="53" spans="1:42" x14ac:dyDescent="0.35">
      <c r="A53" s="81"/>
      <c r="Q53" s="81"/>
    </row>
    <row r="54" spans="1:42" x14ac:dyDescent="0.35">
      <c r="A54" s="81"/>
      <c r="Q54" s="81"/>
    </row>
    <row r="55" spans="1:42" x14ac:dyDescent="0.35">
      <c r="A55" s="81"/>
      <c r="Q55" s="81"/>
    </row>
    <row r="56" spans="1:42" x14ac:dyDescent="0.35">
      <c r="A56" s="81"/>
      <c r="Q56" s="81"/>
    </row>
    <row r="57" spans="1:42" x14ac:dyDescent="0.35">
      <c r="A57" s="81"/>
      <c r="Q57" s="81"/>
    </row>
    <row r="58" spans="1:42" x14ac:dyDescent="0.35">
      <c r="A58" s="81"/>
      <c r="Q58" s="81"/>
    </row>
    <row r="59" spans="1:42" x14ac:dyDescent="0.35">
      <c r="A59" s="81"/>
      <c r="B59" s="86"/>
      <c r="C59" s="83"/>
      <c r="D59" s="83"/>
      <c r="E59" s="83"/>
      <c r="F59" s="83"/>
      <c r="G59" s="83"/>
      <c r="H59" s="83"/>
      <c r="I59" s="83"/>
      <c r="J59" s="83"/>
      <c r="K59" s="83"/>
      <c r="L59" s="83"/>
      <c r="M59" s="83"/>
      <c r="N59" s="83"/>
      <c r="O59" s="83"/>
      <c r="P59" s="87"/>
      <c r="Q59" s="81"/>
    </row>
    <row r="60" spans="1:42" x14ac:dyDescent="0.35">
      <c r="A60" s="81"/>
      <c r="B60" s="132" t="s">
        <v>515</v>
      </c>
      <c r="C60" s="132"/>
      <c r="D60" s="132"/>
      <c r="E60" s="132"/>
      <c r="F60" s="132"/>
      <c r="G60" s="132"/>
      <c r="H60" s="132"/>
      <c r="I60" s="132"/>
      <c r="J60" s="132"/>
      <c r="K60" s="132"/>
      <c r="L60" s="132"/>
      <c r="M60" s="132"/>
      <c r="N60" s="132"/>
      <c r="O60" s="132"/>
      <c r="P60" s="132"/>
      <c r="Q60" s="81"/>
    </row>
    <row r="61" spans="1:42" x14ac:dyDescent="0.35">
      <c r="A61" s="81" t="s">
        <v>5</v>
      </c>
      <c r="B61" s="132" t="s">
        <v>516</v>
      </c>
      <c r="C61" s="132"/>
      <c r="D61" s="132"/>
      <c r="E61" s="132"/>
      <c r="F61" s="132"/>
      <c r="G61" s="132"/>
      <c r="H61" s="132"/>
      <c r="I61" s="132"/>
      <c r="J61" s="132"/>
      <c r="K61" s="132"/>
      <c r="L61" s="132"/>
      <c r="M61" s="132"/>
      <c r="N61" s="132"/>
      <c r="O61" s="132"/>
      <c r="P61" s="132"/>
      <c r="Q61" s="81"/>
    </row>
  </sheetData>
  <mergeCells count="15">
    <mergeCell ref="B2:P4"/>
    <mergeCell ref="F6:G6"/>
    <mergeCell ref="F7:G7"/>
    <mergeCell ref="I6:J6"/>
    <mergeCell ref="L6:M6"/>
    <mergeCell ref="L7:M7"/>
    <mergeCell ref="I7:J7"/>
    <mergeCell ref="B60:P60"/>
    <mergeCell ref="B61:P61"/>
    <mergeCell ref="O6:P6"/>
    <mergeCell ref="O7:P7"/>
    <mergeCell ref="B37:H37"/>
    <mergeCell ref="B38:H38"/>
    <mergeCell ref="J37:P37"/>
    <mergeCell ref="J38:P38"/>
  </mergeCells>
  <conditionalFormatting sqref="F7:G7">
    <cfRule type="iconSet" priority="7">
      <iconSet iconSet="3Arrows">
        <cfvo type="percent" val="0"/>
        <cfvo type="percent" val="33"/>
        <cfvo type="percent" val="67"/>
      </iconSet>
    </cfRule>
  </conditionalFormatting>
  <conditionalFormatting sqref="I7:J7">
    <cfRule type="iconSet" priority="2">
      <iconSet iconSet="3Arrows">
        <cfvo type="percent" val="0"/>
        <cfvo type="percent" val="33"/>
        <cfvo type="percent" val="67"/>
      </iconSet>
    </cfRule>
  </conditionalFormatting>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2BD0-EAD3-4643-A195-0DA39CB5814A}">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 Instuctions</vt:lpstr>
      <vt:lpstr>Final Project Dataset</vt:lpstr>
      <vt:lpstr>Raw Data</vt:lpstr>
      <vt:lpstr>Analysis</vt:lpstr>
      <vt:lpstr>Scenario Summary</vt:lpstr>
      <vt:lpstr>Linear Regression</vt:lpstr>
      <vt:lpstr>KPI</vt:lpstr>
      <vt:lpstr>Visualization</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Bagle</dc:creator>
  <cp:lastModifiedBy>bhavesh Kumbhare</cp:lastModifiedBy>
  <dcterms:created xsi:type="dcterms:W3CDTF">2026-05-29T03:24:23Z</dcterms:created>
  <dcterms:modified xsi:type="dcterms:W3CDTF">2026-06-09T05:20:44Z</dcterms:modified>
</cp:coreProperties>
</file>